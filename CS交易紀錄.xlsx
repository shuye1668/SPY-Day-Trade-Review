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22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/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09"/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4"/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+C2616+C2617</f>
        <v/>
      </c>
    </row>
    <row r="2619">
      <c r="B2619" t="inlineStr">
        <is>
          <t>平倉損益 %</t>
        </is>
      </c>
      <c r="C2619">
        <f>C2618/ABS(C2616)</f>
        <v/>
      </c>
    </row>
    <row r="2620"/>
    <row r="2621"/>
    <row r="2622">
      <c r="A2622" t="inlineStr">
        <is>
          <t>2026.10.16</t>
        </is>
      </c>
      <c r="B2622" t="n">
        <v>2382534.74</v>
      </c>
      <c r="C2622" t="inlineStr">
        <is>
          <t>損益</t>
        </is>
      </c>
    </row>
    <row r="2623">
      <c r="A2623" t="n">
        <v>-76763.5</v>
      </c>
      <c r="B2623">
        <f>+B2622+A2623</f>
        <v/>
      </c>
    </row>
    <row r="2624">
      <c r="A2624" t="n">
        <v>76776.78999999999</v>
      </c>
      <c r="B2624">
        <f>+B2623+A2624</f>
        <v/>
      </c>
      <c r="C2624" t="n">
        <v>13.29</v>
      </c>
    </row>
    <row r="2625">
      <c r="A2625" t="n">
        <v>-76663.96000000001</v>
      </c>
      <c r="B2625">
        <f>+B2624+A2625</f>
        <v/>
      </c>
    </row>
    <row r="2626">
      <c r="A2626" t="n">
        <v>-76592.61</v>
      </c>
      <c r="B2626">
        <f>+B2625+A2626</f>
        <v/>
      </c>
    </row>
    <row r="2627">
      <c r="A2627" t="n">
        <v>-76401</v>
      </c>
      <c r="B2627">
        <f>+B2626+A2627</f>
        <v/>
      </c>
    </row>
    <row r="2628">
      <c r="B2628" t="inlineStr">
        <is>
          <t xml:space="preserve">合計 </t>
        </is>
      </c>
      <c r="C2628" s="80">
        <f>SUM(C2623:C2627)</f>
        <v/>
      </c>
    </row>
    <row r="2629">
      <c r="B2629" t="inlineStr">
        <is>
          <t>核驗</t>
        </is>
      </c>
      <c r="C2629" s="80">
        <f>+B2627-B2622-A2625-A2626-A2627</f>
        <v/>
      </c>
    </row>
    <row r="2630"/>
    <row r="2631">
      <c r="A2631" t="inlineStr">
        <is>
          <t>2026.10.16當沖</t>
        </is>
      </c>
      <c r="B2631" t="inlineStr">
        <is>
          <t>買</t>
        </is>
      </c>
      <c r="C2631" s="80">
        <f>SUMIF(A2623:A2624,"&lt;0")</f>
        <v/>
      </c>
    </row>
    <row r="2632">
      <c r="A2632">
        <f>"SPY " &amp; COUNT(C2623:C2624) * 100 &amp; "股"</f>
        <v/>
      </c>
      <c r="B2632" t="inlineStr">
        <is>
          <t>賣</t>
        </is>
      </c>
      <c r="C2632" s="80">
        <f>SUMIF(A2623:A2624,"&gt;0")</f>
        <v/>
      </c>
    </row>
    <row r="2633">
      <c r="B2633" t="inlineStr">
        <is>
          <t>當日損益</t>
        </is>
      </c>
      <c r="C2633" s="80">
        <f>+C2631+C2632</f>
        <v/>
      </c>
    </row>
    <row r="2634">
      <c r="B2634" t="inlineStr">
        <is>
          <t>當日損益 %</t>
        </is>
      </c>
      <c r="C2634" s="45">
        <f>C2633/ABS(C2631)</f>
        <v/>
      </c>
    </row>
    <row r="2635"/>
    <row r="2636"/>
    <row r="2637">
      <c r="A2637" t="inlineStr">
        <is>
          <t>2026.10.19</t>
        </is>
      </c>
      <c r="B2637" t="n">
        <v>2382582.4</v>
      </c>
      <c r="C2637" t="inlineStr">
        <is>
          <t>損益</t>
        </is>
      </c>
    </row>
    <row r="2638">
      <c r="A2638" t="n">
        <v>76904.62</v>
      </c>
      <c r="B2638">
        <f>+B2637+A2638</f>
        <v/>
      </c>
    </row>
    <row r="2639">
      <c r="A2639" t="n">
        <v>76911.58</v>
      </c>
      <c r="B2639">
        <f>+B2638+A2639</f>
        <v/>
      </c>
    </row>
    <row r="2640">
      <c r="A2640" t="n">
        <v>76973.91</v>
      </c>
      <c r="B2640">
        <f>+B2639+A2640</f>
        <v/>
      </c>
    </row>
    <row r="2641">
      <c r="B2641" t="inlineStr">
        <is>
          <t xml:space="preserve">合計 </t>
        </is>
      </c>
      <c r="C2641" s="80">
        <f>SUM(C2638:C2640)</f>
        <v/>
      </c>
    </row>
    <row r="2642">
      <c r="B2642" t="inlineStr">
        <is>
          <t>核驗</t>
        </is>
      </c>
      <c r="C2642" s="80">
        <f>+B2640-B2637-A2638-A2639-A2640</f>
        <v/>
      </c>
    </row>
    <row r="2643"/>
    <row r="2644"/>
    <row r="2645">
      <c r="A2645" t="inlineStr">
        <is>
          <t>2026.10.21</t>
        </is>
      </c>
      <c r="B2645" t="n">
        <v>2383728.23</v>
      </c>
      <c r="C2645" t="inlineStr">
        <is>
          <t>損益</t>
        </is>
      </c>
    </row>
    <row r="2646">
      <c r="A2646" t="n">
        <v>-77034.99000000001</v>
      </c>
      <c r="B2646">
        <f>+B2645+A2646</f>
        <v/>
      </c>
    </row>
    <row r="2647">
      <c r="A2647" t="n">
        <v>76893.42</v>
      </c>
      <c r="B2647">
        <f>+B2646+A2647</f>
        <v/>
      </c>
      <c r="C2647" t="n">
        <v>-141.57</v>
      </c>
    </row>
    <row r="2648">
      <c r="B2648" t="inlineStr">
        <is>
          <t xml:space="preserve">合計 </t>
        </is>
      </c>
      <c r="C2648" s="80">
        <f>SUM(C2646:C2647)</f>
        <v/>
      </c>
    </row>
    <row r="2649">
      <c r="B2649" t="inlineStr">
        <is>
          <t>核驗</t>
        </is>
      </c>
      <c r="C2649" s="80">
        <f>+B2647-B2645</f>
        <v/>
      </c>
    </row>
    <row r="2650"/>
    <row r="2651">
      <c r="A2651" t="inlineStr">
        <is>
          <t>2026.10.21當沖</t>
        </is>
      </c>
      <c r="B2651" t="inlineStr">
        <is>
          <t>買</t>
        </is>
      </c>
      <c r="C2651" s="80">
        <f>SUMIF(A2646:A2647,"&lt;0")</f>
        <v/>
      </c>
    </row>
    <row r="2652">
      <c r="A2652">
        <f>"SPY " &amp; COUNT(C2646:C2647) * 100 &amp; "股"</f>
        <v/>
      </c>
      <c r="B2652" t="inlineStr">
        <is>
          <t>賣</t>
        </is>
      </c>
      <c r="C2652" s="80">
        <f>SUMIF(A2646:A2647,"&gt;0")</f>
        <v/>
      </c>
    </row>
    <row r="2653">
      <c r="B2653" t="inlineStr">
        <is>
          <t>當日損益</t>
        </is>
      </c>
      <c r="C2653" s="80">
        <f>+C2651+C2652</f>
        <v/>
      </c>
    </row>
    <row r="2654">
      <c r="B2654" t="inlineStr">
        <is>
          <t>當日損益 %</t>
        </is>
      </c>
      <c r="C2654" s="45">
        <f>C2653/ABS(C2651)</f>
        <v/>
      </c>
    </row>
    <row r="2655"/>
    <row r="2656">
      <c r="A2656" t="inlineStr">
        <is>
          <t>累積留倉   0股</t>
        </is>
      </c>
    </row>
    <row r="2657">
      <c r="A2657" t="inlineStr">
        <is>
          <t>2026.10.16 留倉</t>
        </is>
      </c>
      <c r="B2657" t="inlineStr">
        <is>
          <t>買 100股</t>
        </is>
      </c>
      <c r="C2657" t="n">
        <v>-76663.96000000001</v>
      </c>
    </row>
    <row r="2658">
      <c r="A2658" t="inlineStr">
        <is>
          <t>2026.10.16 留倉</t>
        </is>
      </c>
      <c r="B2658" t="inlineStr">
        <is>
          <t>買 100股</t>
        </is>
      </c>
      <c r="C2658" t="n">
        <v>-76592.61</v>
      </c>
    </row>
    <row r="2659">
      <c r="A2659" t="inlineStr">
        <is>
          <t>2026.10.16 留倉</t>
        </is>
      </c>
      <c r="B2659" t="inlineStr">
        <is>
          <t>買 100股</t>
        </is>
      </c>
      <c r="C2659" t="n">
        <v>-76401</v>
      </c>
    </row>
    <row r="2660">
      <c r="A2660" t="inlineStr">
        <is>
          <t>2026.10.19 平倉</t>
        </is>
      </c>
      <c r="B2660" t="inlineStr">
        <is>
          <t>賣100股</t>
        </is>
      </c>
      <c r="C2660">
        <f>+A2640</f>
        <v/>
      </c>
    </row>
    <row r="2661">
      <c r="A2661" t="inlineStr">
        <is>
          <t>2026.10.19 平倉</t>
        </is>
      </c>
      <c r="B2661" t="inlineStr">
        <is>
          <t>賣100股</t>
        </is>
      </c>
      <c r="C2661">
        <f>+A2639</f>
        <v/>
      </c>
    </row>
    <row r="2662">
      <c r="A2662" t="inlineStr">
        <is>
          <t>2026.10.19 平倉</t>
        </is>
      </c>
      <c r="B2662" t="inlineStr">
        <is>
          <t>賣100股</t>
        </is>
      </c>
      <c r="C2662">
        <f>+A2638</f>
        <v/>
      </c>
    </row>
    <row r="2663">
      <c r="B2663" t="inlineStr">
        <is>
          <t>平倉損益</t>
        </is>
      </c>
      <c r="C2663">
        <f>C2657+C2658+C2659+C2660+C2661+C2662</f>
        <v/>
      </c>
    </row>
    <row r="2664">
      <c r="B2664" t="inlineStr">
        <is>
          <t>平倉損益 %</t>
        </is>
      </c>
      <c r="C2664">
        <f>C2663/ABS(C2657+C2658+C2659)</f>
        <v/>
      </c>
    </row>
    <row r="2665"/>
    <row r="2666"/>
    <row r="2667">
      <c r="A2667" t="inlineStr">
        <is>
          <t>2026.10.22</t>
        </is>
      </c>
      <c r="B2667" t="n">
        <v>2152796.55</v>
      </c>
      <c r="C2667" t="inlineStr">
        <is>
          <t>損益</t>
        </is>
      </c>
    </row>
    <row r="2668">
      <c r="A2668" t="n">
        <v>-76314.16</v>
      </c>
      <c r="B2668">
        <f>+B2667+A2668</f>
        <v/>
      </c>
    </row>
    <row r="2669">
      <c r="A2669" t="n">
        <v>-76419.99000000001</v>
      </c>
      <c r="B2669">
        <f>+B2668+A2669</f>
        <v/>
      </c>
    </row>
    <row r="2670">
      <c r="A2670" t="n">
        <v>-76209</v>
      </c>
      <c r="B2670">
        <f>+B2669+A2670</f>
        <v/>
      </c>
    </row>
    <row r="2671">
      <c r="A2671" t="n">
        <v>-76180.5</v>
      </c>
      <c r="B2671">
        <f>+B2670+A2671</f>
        <v/>
      </c>
    </row>
    <row r="2672">
      <c r="B2672" t="inlineStr">
        <is>
          <t xml:space="preserve">合計 </t>
        </is>
      </c>
      <c r="C2672" s="80">
        <f>SUM(C2668:C2671)</f>
        <v/>
      </c>
    </row>
    <row r="2673">
      <c r="B2673" t="inlineStr">
        <is>
          <t>核驗</t>
        </is>
      </c>
      <c r="C2673" s="80">
        <f>+B2671-B2667-A2668-A2669-A2670-A2671</f>
        <v/>
      </c>
    </row>
    <row r="2674"/>
    <row r="2675"/>
    <row r="2676">
      <c r="A2676" t="inlineStr">
        <is>
          <t>2026.10.23</t>
        </is>
      </c>
      <c r="B2676" t="n">
        <v>2078463.01</v>
      </c>
      <c r="C2676" t="inlineStr">
        <is>
          <t>損益</t>
        </is>
      </c>
    </row>
    <row r="2677">
      <c r="A2677" t="n">
        <v>-76087</v>
      </c>
      <c r="B2677">
        <f>+B2676+A2677</f>
        <v/>
      </c>
    </row>
    <row r="2678">
      <c r="B2678" t="inlineStr">
        <is>
          <t xml:space="preserve">合計 </t>
        </is>
      </c>
      <c r="C2678" s="80">
        <f>SUM(C2677:C2677)</f>
        <v/>
      </c>
    </row>
    <row r="2679">
      <c r="B2679" t="inlineStr">
        <is>
          <t>核驗</t>
        </is>
      </c>
      <c r="C2679" s="80">
        <f>+B2677-B2676-A2677</f>
        <v/>
      </c>
    </row>
    <row r="2680"/>
    <row r="2681"/>
    <row r="2682">
      <c r="A2682" t="inlineStr">
        <is>
          <t>2026.10.27</t>
        </is>
      </c>
      <c r="B2682" t="n">
        <v>2002376.01</v>
      </c>
      <c r="C2682" t="inlineStr">
        <is>
          <t>損益</t>
        </is>
      </c>
    </row>
    <row r="2683">
      <c r="A2683" t="n">
        <v>-76636</v>
      </c>
      <c r="B2683">
        <f>+B2682+A2683</f>
        <v/>
      </c>
    </row>
    <row r="2684">
      <c r="A2684" t="n">
        <v>76749.96000000001</v>
      </c>
      <c r="B2684">
        <f>+B2683+A2684</f>
        <v/>
      </c>
      <c r="C2684" t="n">
        <v>113.96</v>
      </c>
    </row>
    <row r="2685">
      <c r="A2685" t="n">
        <v>77035.91</v>
      </c>
      <c r="B2685">
        <f>+B2684+A2685</f>
        <v/>
      </c>
    </row>
    <row r="2686">
      <c r="A2686" t="n">
        <v>77030.91</v>
      </c>
      <c r="B2686">
        <f>+B2685+A2686</f>
        <v/>
      </c>
    </row>
    <row r="2687">
      <c r="A2687" t="n">
        <v>77034.24000000001</v>
      </c>
      <c r="B2687">
        <f>+B2686+A2687</f>
        <v/>
      </c>
    </row>
    <row r="2688">
      <c r="A2688" t="n">
        <v>77041.08</v>
      </c>
      <c r="B2688">
        <f>+B2687+A2688</f>
        <v/>
      </c>
    </row>
    <row r="2689">
      <c r="A2689" t="n">
        <v>77043.41</v>
      </c>
      <c r="B2689">
        <f>+B2688+A2689</f>
        <v/>
      </c>
    </row>
    <row r="2690">
      <c r="B2690" t="inlineStr">
        <is>
          <t xml:space="preserve">合計 </t>
        </is>
      </c>
      <c r="C2690" s="80">
        <f>SUM(C2683:C2689)</f>
        <v/>
      </c>
    </row>
    <row r="2691">
      <c r="B2691" t="inlineStr">
        <is>
          <t>核驗</t>
        </is>
      </c>
      <c r="C2691" s="80">
        <f>+B2689-B2682-A2685-A2686-A2687-A2688-A2689</f>
        <v/>
      </c>
    </row>
    <row r="2692"/>
    <row r="2693">
      <c r="A2693" t="inlineStr">
        <is>
          <t>2026.10.27當沖</t>
        </is>
      </c>
      <c r="B2693" t="inlineStr">
        <is>
          <t>買</t>
        </is>
      </c>
      <c r="C2693" s="80">
        <f>SUMIF(A2683:A2684,"&lt;0")</f>
        <v/>
      </c>
    </row>
    <row r="2694">
      <c r="A2694">
        <f>"SPY " &amp; COUNT(C2683:C2684) * 100 &amp; "股"</f>
        <v/>
      </c>
      <c r="B2694" t="inlineStr">
        <is>
          <t>賣</t>
        </is>
      </c>
      <c r="C2694" s="80">
        <f>SUMIF(A2683:A2684,"&gt;0")</f>
        <v/>
      </c>
    </row>
    <row r="2695">
      <c r="B2695" t="inlineStr">
        <is>
          <t>當日損益</t>
        </is>
      </c>
      <c r="C2695" s="80">
        <f>+C2693+C2694</f>
        <v/>
      </c>
    </row>
    <row r="2696">
      <c r="B2696" t="inlineStr">
        <is>
          <t>當日損益 %</t>
        </is>
      </c>
      <c r="C2696" s="45">
        <f>C2695/ABS(C2693)</f>
        <v/>
      </c>
    </row>
    <row r="2697"/>
    <row r="2698"/>
    <row r="2699">
      <c r="A2699" t="inlineStr">
        <is>
          <t>2026.10.29</t>
        </is>
      </c>
      <c r="B2699" t="n">
        <v>2387675.52</v>
      </c>
      <c r="C2699" t="inlineStr">
        <is>
          <t>損益</t>
        </is>
      </c>
    </row>
    <row r="2700">
      <c r="A2700" t="n">
        <v>-76829</v>
      </c>
      <c r="B2700">
        <f>+B2699+A2700</f>
        <v/>
      </c>
    </row>
    <row r="2701">
      <c r="A2701" t="n">
        <v>76885.99000000001</v>
      </c>
      <c r="B2701">
        <f>+B2700+A2701</f>
        <v/>
      </c>
      <c r="C2701" t="n">
        <v>56.99</v>
      </c>
    </row>
    <row r="2702">
      <c r="B2702" t="inlineStr">
        <is>
          <t xml:space="preserve">合計 </t>
        </is>
      </c>
      <c r="C2702" s="80">
        <f>SUM(C2700:C2701)</f>
        <v/>
      </c>
    </row>
    <row r="2703">
      <c r="B2703" t="inlineStr">
        <is>
          <t>核驗</t>
        </is>
      </c>
      <c r="C2703" s="80">
        <f>+B2701-B2699</f>
        <v/>
      </c>
    </row>
    <row r="2705">
      <c r="A2705" t="inlineStr">
        <is>
          <t>2026.10.29當沖</t>
        </is>
      </c>
      <c r="B2705" t="inlineStr">
        <is>
          <t>買</t>
        </is>
      </c>
      <c r="C2705" s="80">
        <f>SUMIF(A2700:A2701,"&lt;0")</f>
        <v/>
      </c>
    </row>
    <row r="2706">
      <c r="A2706">
        <f>"SPY " &amp; COUNT(C2700:C2701) * 100 &amp; "股"</f>
        <v/>
      </c>
      <c r="B2706" t="inlineStr">
        <is>
          <t>賣</t>
        </is>
      </c>
      <c r="C2706" s="80">
        <f>SUMIF(A2700:A2701,"&gt;0")</f>
        <v/>
      </c>
    </row>
    <row r="2707">
      <c r="B2707" t="inlineStr">
        <is>
          <t>當日損益</t>
        </is>
      </c>
      <c r="C2707" s="80">
        <f>+C2705+C2706</f>
        <v/>
      </c>
    </row>
    <row r="2708">
      <c r="B2708" t="inlineStr">
        <is>
          <t>當日損益 %</t>
        </is>
      </c>
      <c r="C2708" s="45">
        <f>C2707/ABS(C2705)</f>
        <v/>
      </c>
    </row>
    <row r="2709"/>
    <row r="2710">
      <c r="A2710" t="inlineStr">
        <is>
          <t>累積留倉   0股</t>
        </is>
      </c>
    </row>
    <row r="2711">
      <c r="A2711" t="inlineStr">
        <is>
          <t>2026.10.22 留倉</t>
        </is>
      </c>
      <c r="B2711" t="inlineStr">
        <is>
          <t>買 100股</t>
        </is>
      </c>
      <c r="C2711" t="n">
        <v>-76314.16</v>
      </c>
    </row>
    <row r="2712">
      <c r="A2712" t="inlineStr">
        <is>
          <t>2026.10.22 留倉</t>
        </is>
      </c>
      <c r="B2712" t="inlineStr">
        <is>
          <t>買 100股</t>
        </is>
      </c>
      <c r="C2712" t="n">
        <v>-76419.99000000001</v>
      </c>
    </row>
    <row r="2713">
      <c r="A2713" t="inlineStr">
        <is>
          <t>2026.10.22 留倉</t>
        </is>
      </c>
      <c r="B2713" t="inlineStr">
        <is>
          <t>買 100股</t>
        </is>
      </c>
      <c r="C2713" t="n">
        <v>-76209</v>
      </c>
    </row>
    <row r="2714">
      <c r="A2714" t="inlineStr">
        <is>
          <t>2026.10.22 留倉</t>
        </is>
      </c>
      <c r="B2714" t="inlineStr">
        <is>
          <t>買 100股</t>
        </is>
      </c>
      <c r="C2714" t="n">
        <v>-76180.5</v>
      </c>
    </row>
    <row r="2715">
      <c r="A2715" t="inlineStr">
        <is>
          <t>2026.10.23 留倉</t>
        </is>
      </c>
      <c r="B2715" t="inlineStr">
        <is>
          <t>買 100股</t>
        </is>
      </c>
      <c r="C2715" t="n">
        <v>-76087</v>
      </c>
    </row>
    <row r="2716">
      <c r="A2716" t="inlineStr">
        <is>
          <t>2026.10.27 平倉</t>
        </is>
      </c>
      <c r="B2716" t="inlineStr">
        <is>
          <t>賣100股</t>
        </is>
      </c>
      <c r="C2716">
        <f>+A2689</f>
        <v/>
      </c>
    </row>
    <row r="2717">
      <c r="A2717" t="inlineStr">
        <is>
          <t>2026.10.27 平倉</t>
        </is>
      </c>
      <c r="B2717" t="inlineStr">
        <is>
          <t>賣100股</t>
        </is>
      </c>
      <c r="C2717">
        <f>+A2688</f>
        <v/>
      </c>
    </row>
    <row r="2718">
      <c r="A2718" t="inlineStr">
        <is>
          <t>2026.10.27 平倉</t>
        </is>
      </c>
      <c r="B2718" t="inlineStr">
        <is>
          <t>賣100股</t>
        </is>
      </c>
      <c r="C2718">
        <f>+A2687</f>
        <v/>
      </c>
    </row>
    <row r="2719">
      <c r="A2719" t="inlineStr">
        <is>
          <t>2026.10.27 平倉</t>
        </is>
      </c>
      <c r="B2719" t="inlineStr">
        <is>
          <t>賣100股</t>
        </is>
      </c>
      <c r="C2719">
        <f>+A2686</f>
        <v/>
      </c>
    </row>
    <row r="2720">
      <c r="A2720" t="inlineStr">
        <is>
          <t>2026.10.27 平倉</t>
        </is>
      </c>
      <c r="B2720" t="inlineStr">
        <is>
          <t>賣100股</t>
        </is>
      </c>
      <c r="C2720">
        <f>+A2685</f>
        <v/>
      </c>
    </row>
    <row r="2721">
      <c r="B2721" t="inlineStr">
        <is>
          <t>平倉損益</t>
        </is>
      </c>
      <c r="C2721">
        <f>C2711+C2712+C2713+C2714+C2715+C2716+C2717+C2718+C2719+C2720</f>
        <v/>
      </c>
    </row>
    <row r="2722">
      <c r="B2722" t="inlineStr">
        <is>
          <t>平倉損益 %</t>
        </is>
      </c>
      <c r="C2722">
        <f>C2721/ABS(C2711+C2712+C2713+C2714+C2715)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6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  <row r="70">
      <c r="A70" s="86" t="n">
        <v>46311</v>
      </c>
      <c r="B70" t="n">
        <v>13.29</v>
      </c>
      <c r="C70">
        <f>C69+B70</f>
        <v/>
      </c>
    </row>
    <row r="71">
      <c r="A71" s="86" t="n">
        <v>46314</v>
      </c>
      <c r="B71" t="n">
        <v>1132.54</v>
      </c>
      <c r="C71">
        <f>C70+B71</f>
        <v/>
      </c>
    </row>
    <row r="72">
      <c r="A72" s="86" t="n">
        <v>46316</v>
      </c>
      <c r="B72" t="n">
        <v>-141.57</v>
      </c>
      <c r="C72">
        <f>C71+B72</f>
        <v/>
      </c>
    </row>
    <row r="73">
      <c r="A73" s="86" t="n">
        <v>46317</v>
      </c>
      <c r="B73" t="n">
        <v>0</v>
      </c>
      <c r="C73">
        <f>C72+B73</f>
        <v/>
      </c>
    </row>
    <row r="74">
      <c r="A74" s="86" t="n">
        <v>46318</v>
      </c>
      <c r="B74" t="n">
        <v>0</v>
      </c>
      <c r="C74">
        <f>C73+B74</f>
        <v/>
      </c>
    </row>
    <row r="75">
      <c r="A75" s="86" t="n">
        <v>46322</v>
      </c>
      <c r="B75" t="n">
        <v>4088.86</v>
      </c>
      <c r="C75">
        <f>C74+B75</f>
        <v/>
      </c>
    </row>
    <row r="76">
      <c r="A76" s="86" t="n">
        <v>46324</v>
      </c>
      <c r="B76" t="n">
        <v>56.99</v>
      </c>
      <c r="C76">
        <f>C75+B76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2026-10-30T03:07:36Z</dcterms:modified>
  <cp:lastModifiedBy>USER</cp:lastModifiedBy>
</cp:coreProperties>
</file>