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1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0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1" fontId="0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28"/>
  <sheetViews>
    <sheetView tabSelected="1" topLeftCell="A2084" workbookViewId="0">
      <selection activeCell="D2061" sqref="D2061"/>
    </sheetView>
  </sheetViews>
  <sheetFormatPr baseColWidth="8" defaultRowHeight="16.5"/>
  <cols>
    <col width="16.875" customWidth="1" style="67" min="1" max="1"/>
    <col width="17.125" customWidth="1" style="67" min="2" max="2"/>
    <col width="17.875" customWidth="1" style="67" min="3" max="3"/>
  </cols>
  <sheetData>
    <row r="1" ht="30" customHeight="1" s="67">
      <c r="A1" s="70" t="inlineStr">
        <is>
          <t>2026.04.02</t>
        </is>
      </c>
      <c r="B1" s="71" t="n">
        <v>-39368.26</v>
      </c>
      <c r="C1" s="72" t="inlineStr">
        <is>
          <t>損益</t>
        </is>
      </c>
    </row>
    <row r="2">
      <c r="A2" s="1" t="n">
        <v>64669.99000000001</v>
      </c>
      <c r="B2" s="71">
        <f>+B1+A2</f>
        <v/>
      </c>
      <c r="C2" s="73" t="n"/>
    </row>
    <row r="3">
      <c r="A3" s="2" t="n">
        <v>64643.99000000001</v>
      </c>
      <c r="B3" s="71">
        <f>+B2+A3</f>
        <v/>
      </c>
      <c r="C3" s="73" t="n"/>
    </row>
    <row r="4">
      <c r="A4" s="2" t="n">
        <v>-64681.83</v>
      </c>
      <c r="B4" s="71">
        <f>+B3+A4</f>
        <v/>
      </c>
      <c r="C4" s="73" t="n">
        <v>-37.84</v>
      </c>
    </row>
    <row r="5">
      <c r="A5" s="1" t="n">
        <v>-64639</v>
      </c>
      <c r="B5" s="71">
        <f>+B4+A5</f>
        <v/>
      </c>
      <c r="C5" s="73" t="n">
        <v>30.99</v>
      </c>
    </row>
    <row r="6">
      <c r="A6" s="2" t="n">
        <v>64638.98</v>
      </c>
      <c r="B6" s="71">
        <f>+B5+A6</f>
        <v/>
      </c>
      <c r="C6" s="73" t="n"/>
    </row>
    <row r="7">
      <c r="A7" s="2" t="n">
        <v>-64545.7</v>
      </c>
      <c r="B7" s="71">
        <f>+B6+A7</f>
        <v/>
      </c>
      <c r="C7" s="73" t="n">
        <v>93.28</v>
      </c>
    </row>
    <row r="8">
      <c r="A8" s="2" t="n">
        <v>64594.99000000001</v>
      </c>
      <c r="B8" s="71">
        <f>+B7+A8</f>
        <v/>
      </c>
      <c r="C8" s="73" t="n"/>
    </row>
    <row r="9">
      <c r="A9" s="2" t="n">
        <v>-64569.99</v>
      </c>
      <c r="B9" s="71">
        <f>+B8+A9</f>
        <v/>
      </c>
      <c r="C9" s="73" t="n">
        <v>25</v>
      </c>
    </row>
    <row r="10">
      <c r="A10" s="2" t="n">
        <v>64700.98</v>
      </c>
      <c r="B10" s="71">
        <f>+B9+A10</f>
        <v/>
      </c>
      <c r="C10" s="73" t="n"/>
    </row>
    <row r="11">
      <c r="A11" s="2" t="n">
        <v>-65487</v>
      </c>
      <c r="B11" s="71">
        <f>+B10+A11</f>
        <v/>
      </c>
      <c r="C11" s="73" t="n">
        <v>-786.02</v>
      </c>
    </row>
    <row r="12">
      <c r="A12" s="2" t="n">
        <v>-65459</v>
      </c>
      <c r="B12" s="71">
        <f>+B11+A12</f>
        <v/>
      </c>
      <c r="C12" s="73" t="n"/>
    </row>
    <row r="13">
      <c r="A13" s="2" t="n">
        <v>65479.98</v>
      </c>
      <c r="B13" s="71">
        <f>+B12+A13</f>
        <v/>
      </c>
      <c r="C13" s="73" t="n">
        <v>20.98</v>
      </c>
    </row>
    <row r="14">
      <c r="A14" s="2" t="n">
        <v>-65531</v>
      </c>
      <c r="B14" s="71">
        <f>+B13+A14</f>
        <v/>
      </c>
      <c r="C14" s="73" t="n"/>
    </row>
    <row r="15">
      <c r="A15" s="2" t="n">
        <v>65549.98</v>
      </c>
      <c r="B15" s="71">
        <f>+B14+A15</f>
        <v/>
      </c>
      <c r="C15" s="73" t="n">
        <v>18.98</v>
      </c>
    </row>
    <row r="16">
      <c r="A16" s="2" t="n">
        <v>65393.48</v>
      </c>
      <c r="B16" s="71">
        <f>+B15+A16</f>
        <v/>
      </c>
      <c r="C16" s="73" t="n"/>
    </row>
    <row r="17">
      <c r="A17" s="2" t="n">
        <v>-65471.5</v>
      </c>
      <c r="B17" s="71">
        <f>+B16+A17</f>
        <v/>
      </c>
      <c r="C17" s="73" t="n">
        <v>-78.02</v>
      </c>
    </row>
    <row r="18">
      <c r="A18" s="2" t="n">
        <v>-65494.5</v>
      </c>
      <c r="B18" s="71">
        <f>+B17+A18</f>
        <v/>
      </c>
      <c r="C18" s="73" t="n"/>
    </row>
    <row r="19">
      <c r="A19" s="2" t="n">
        <v>65472.98</v>
      </c>
      <c r="B19" s="71">
        <f>+B18+A19</f>
        <v/>
      </c>
      <c r="C19" s="73" t="n">
        <v>-21.52</v>
      </c>
    </row>
    <row r="20">
      <c r="A20" s="2" t="n">
        <v>16369.63</v>
      </c>
      <c r="B20" s="71">
        <f>+B19+A20</f>
        <v/>
      </c>
      <c r="C20" s="73" t="n"/>
    </row>
    <row r="21">
      <c r="A21" s="2" t="n">
        <v>49108.86</v>
      </c>
      <c r="B21" s="71">
        <f>+B20+A21</f>
        <v/>
      </c>
      <c r="C21" s="73" t="n"/>
    </row>
    <row r="22">
      <c r="A22" s="2" t="n">
        <v>-65514.71</v>
      </c>
      <c r="B22" s="71">
        <f>+B21+A22</f>
        <v/>
      </c>
      <c r="C22" s="73" t="n">
        <v>-36.22</v>
      </c>
    </row>
    <row r="23">
      <c r="A23" s="2" t="n">
        <v>65545.23999999999</v>
      </c>
      <c r="B23" s="71">
        <f>+B22+A23</f>
        <v/>
      </c>
      <c r="C23" s="73" t="n"/>
    </row>
    <row r="24">
      <c r="A24" s="2" t="n">
        <v>-65539.25999999999</v>
      </c>
      <c r="B24" s="71">
        <f>+B23+A24</f>
        <v/>
      </c>
      <c r="C24" s="73" t="n">
        <v>5.98</v>
      </c>
    </row>
    <row r="25">
      <c r="A25" s="2" t="n">
        <v>65504.98</v>
      </c>
      <c r="B25" s="71">
        <f>+B24+A25</f>
        <v/>
      </c>
      <c r="C25" s="73" t="n"/>
    </row>
    <row r="26">
      <c r="A26" s="2" t="n">
        <v>-65496.6</v>
      </c>
      <c r="B26" s="71">
        <f>+B25+A26</f>
        <v/>
      </c>
      <c r="C26" s="73" t="n">
        <v>8.380000000000001</v>
      </c>
    </row>
    <row r="27">
      <c r="A27" s="3" t="n">
        <v>65441.48</v>
      </c>
      <c r="B27" s="71">
        <f>+B26+A27</f>
        <v/>
      </c>
      <c r="C27" s="73" t="n"/>
    </row>
    <row r="28">
      <c r="A28" s="2" t="n">
        <v>65559.48</v>
      </c>
      <c r="B28" s="71">
        <f>+B27+A28</f>
        <v/>
      </c>
      <c r="C28" s="73" t="n"/>
    </row>
    <row r="29">
      <c r="A29" s="2" t="n">
        <v>-65520.99</v>
      </c>
      <c r="B29" s="71">
        <f>+B28+A29</f>
        <v/>
      </c>
      <c r="C29" s="73" t="n">
        <v>38.49</v>
      </c>
    </row>
    <row r="30">
      <c r="A30" s="3" t="n">
        <v>-65394.24</v>
      </c>
      <c r="B30" s="71">
        <f>+B29+A30</f>
        <v/>
      </c>
      <c r="C30" s="73" t="n">
        <v>47.24</v>
      </c>
    </row>
    <row r="31">
      <c r="A31" s="2" t="n">
        <v>65378.87</v>
      </c>
      <c r="B31" s="71">
        <f>+B30+A31</f>
        <v/>
      </c>
      <c r="C31" s="73" t="n"/>
    </row>
    <row r="32">
      <c r="A32" s="2" t="n">
        <v>-52281.2</v>
      </c>
      <c r="B32" s="71">
        <f>+B31+A32</f>
        <v/>
      </c>
      <c r="C32" s="73" t="n"/>
    </row>
    <row r="33">
      <c r="A33" s="2" t="n">
        <v>-13070.3</v>
      </c>
      <c r="B33" s="71">
        <f>+B32+A33</f>
        <v/>
      </c>
      <c r="C33" s="73" t="n">
        <v>27.37</v>
      </c>
    </row>
    <row r="34">
      <c r="A34" s="2" t="n">
        <v>18296.45</v>
      </c>
      <c r="B34" s="71">
        <f>+B33+A34</f>
        <v/>
      </c>
      <c r="C34" s="73" t="n"/>
    </row>
    <row r="35">
      <c r="A35" s="2" t="n">
        <v>13068.8</v>
      </c>
      <c r="B35" s="71">
        <f>+B34+A35</f>
        <v/>
      </c>
      <c r="C35" s="73" t="n"/>
    </row>
    <row r="36">
      <c r="A36" s="2" t="n">
        <v>13068.8</v>
      </c>
      <c r="B36" s="71">
        <f>+B35+A36</f>
        <v/>
      </c>
      <c r="C36" s="73" t="n"/>
    </row>
    <row r="37">
      <c r="A37" s="2" t="n">
        <v>20910.07</v>
      </c>
      <c r="B37" s="71">
        <f>+B36+A37</f>
        <v/>
      </c>
      <c r="C37" s="73" t="n"/>
    </row>
    <row r="38">
      <c r="A38" s="2" t="n">
        <v>-65329.5</v>
      </c>
      <c r="B38" s="71">
        <f>+B37+A38</f>
        <v/>
      </c>
      <c r="C38" s="73" t="n">
        <v>14.62</v>
      </c>
    </row>
    <row r="39">
      <c r="A39" s="2" t="n">
        <v>26134.79</v>
      </c>
      <c r="B39" s="71">
        <f>+B38+A39</f>
        <v/>
      </c>
      <c r="C39" s="73" t="n"/>
    </row>
    <row r="40">
      <c r="A40" s="2" t="n">
        <v>26134.79</v>
      </c>
      <c r="B40" s="71">
        <f>+B39+A40</f>
        <v/>
      </c>
      <c r="C40" s="73" t="n"/>
    </row>
    <row r="41">
      <c r="A41" s="2" t="n">
        <v>13067.4</v>
      </c>
      <c r="B41" s="71">
        <f>+B40+A41</f>
        <v/>
      </c>
      <c r="C41" s="73" t="n"/>
    </row>
    <row r="42">
      <c r="A42" s="2" t="n">
        <v>-65353.99</v>
      </c>
      <c r="B42" s="71">
        <f>+B41+A42</f>
        <v/>
      </c>
      <c r="C42" s="73" t="n">
        <v>-17.01</v>
      </c>
    </row>
    <row r="43">
      <c r="A43" s="2" t="n">
        <v>65278.98</v>
      </c>
      <c r="B43" s="71">
        <f>+B42+A43</f>
        <v/>
      </c>
      <c r="C43" s="73" t="n"/>
    </row>
    <row r="44">
      <c r="A44" s="2" t="n">
        <v>-65261.87</v>
      </c>
      <c r="B44" s="71">
        <f>+B43+A44</f>
        <v/>
      </c>
      <c r="C44" s="73" t="n">
        <v>17.11</v>
      </c>
    </row>
    <row r="45">
      <c r="A45" s="4" t="n">
        <v>52200.86</v>
      </c>
      <c r="B45" s="71">
        <f>+B44+A45</f>
        <v/>
      </c>
      <c r="C45" s="73" t="n"/>
    </row>
    <row r="46">
      <c r="A46" s="4" t="n">
        <v>13050.22</v>
      </c>
      <c r="B46" s="71">
        <f>+B45+A46</f>
        <v/>
      </c>
      <c r="C46" s="73" t="n"/>
    </row>
    <row r="47">
      <c r="A47" s="2" t="n">
        <v>65281.99000000001</v>
      </c>
      <c r="B47" s="71">
        <f>+B46+A47</f>
        <v/>
      </c>
      <c r="C47" s="73" t="n"/>
    </row>
    <row r="48">
      <c r="A48" s="2" t="n">
        <v>-65264.82</v>
      </c>
      <c r="B48" s="71">
        <f>+B47+A48</f>
        <v/>
      </c>
      <c r="C48" s="73" t="n">
        <v>17.17</v>
      </c>
    </row>
    <row r="49">
      <c r="A49" s="4" t="n">
        <v>-65260.53</v>
      </c>
      <c r="B49" s="71">
        <f>+B48+A49</f>
        <v/>
      </c>
      <c r="C49" s="73" t="n">
        <v>-9.449999999999999</v>
      </c>
    </row>
    <row r="50">
      <c r="A50" s="2" t="n">
        <v>-65270</v>
      </c>
      <c r="B50" s="71">
        <f>+B49+A50</f>
        <v/>
      </c>
      <c r="C50" s="73" t="n"/>
    </row>
    <row r="51">
      <c r="A51" s="2" t="n">
        <v>65281.08</v>
      </c>
      <c r="B51" s="71">
        <f>+B50+A51</f>
        <v/>
      </c>
      <c r="C51" s="73" t="n">
        <v>11.08</v>
      </c>
    </row>
    <row r="52">
      <c r="A52" s="2" t="n">
        <v>7181.08</v>
      </c>
      <c r="B52" s="71">
        <f>+B51+A52</f>
        <v/>
      </c>
      <c r="C52" s="73" t="n"/>
    </row>
    <row r="53">
      <c r="A53" s="2" t="n">
        <v>58101.4</v>
      </c>
      <c r="B53" s="71">
        <f>+B52+A53</f>
        <v/>
      </c>
      <c r="C53" s="73" t="n"/>
    </row>
    <row r="54">
      <c r="A54" s="2" t="n">
        <v>-65367</v>
      </c>
      <c r="B54" s="71">
        <f>+B53+A54</f>
        <v/>
      </c>
      <c r="C54" s="73" t="n">
        <v>-84.52</v>
      </c>
    </row>
    <row r="55">
      <c r="A55" s="2" t="n">
        <v>17597.98</v>
      </c>
      <c r="B55" s="71">
        <f>+B54+A55</f>
        <v/>
      </c>
      <c r="C55" s="73" t="n"/>
    </row>
    <row r="56">
      <c r="A56" s="2" t="n">
        <v>-17673.5</v>
      </c>
      <c r="B56" s="71">
        <f>+B55+A56</f>
        <v/>
      </c>
      <c r="C56" s="73" t="n">
        <v>-75.52</v>
      </c>
    </row>
    <row r="57" ht="17.25" customHeight="1" s="67" thickBot="1">
      <c r="A57" s="43" t="n"/>
      <c r="B57" s="74" t="inlineStr">
        <is>
          <t xml:space="preserve">合計 </t>
        </is>
      </c>
      <c r="C57" s="75">
        <f>SUM(C2:C56)</f>
        <v/>
      </c>
    </row>
    <row r="58" ht="17.25" customHeight="1" s="67" thickTop="1">
      <c r="A58" s="43" t="n"/>
      <c r="B58" s="74" t="inlineStr">
        <is>
          <t>核驗</t>
        </is>
      </c>
      <c r="C58" s="76">
        <f>+B56-B1</f>
        <v/>
      </c>
    </row>
    <row r="59">
      <c r="A59" s="43" t="n"/>
      <c r="B59" s="71" t="n"/>
      <c r="C59" s="43" t="n"/>
    </row>
    <row r="60">
      <c r="A60" s="43" t="n"/>
      <c r="B60" s="71" t="n"/>
      <c r="C60" s="43" t="n"/>
    </row>
    <row r="61">
      <c r="A61" s="43" t="inlineStr">
        <is>
          <t>2026.04.02當沖</t>
        </is>
      </c>
      <c r="B61" s="74" t="inlineStr">
        <is>
          <t>買</t>
        </is>
      </c>
      <c r="C61" s="74">
        <f>SUMIF(A2:A54,"&lt;0")</f>
        <v/>
      </c>
    </row>
    <row r="62">
      <c r="A62" s="43">
        <f>"SPY " &amp; COUNT(C1:C54) * 100 &amp; "股"</f>
        <v/>
      </c>
      <c r="B62" s="74" t="inlineStr">
        <is>
          <t>賣</t>
        </is>
      </c>
      <c r="C62" s="74">
        <f>SUMIF(A2:A54,"&gt;0")</f>
        <v/>
      </c>
    </row>
    <row r="63" ht="17.25" customHeight="1" s="67" thickBot="1">
      <c r="A63" s="70" t="n"/>
      <c r="B63" s="74" t="inlineStr">
        <is>
          <t>當日損益</t>
        </is>
      </c>
      <c r="C63" s="75">
        <f>+C61+C62</f>
        <v/>
      </c>
    </row>
    <row r="64" ht="17.25" customHeight="1" s="67" thickTop="1">
      <c r="A64" s="70" t="n"/>
      <c r="B64" s="74" t="inlineStr">
        <is>
          <t>當日損益 %</t>
        </is>
      </c>
      <c r="C64" s="36">
        <f>C63/ABS(C61)</f>
        <v/>
      </c>
    </row>
    <row r="65">
      <c r="A65" s="70" t="n"/>
      <c r="B65" s="74" t="n"/>
      <c r="C65" s="77" t="n"/>
    </row>
    <row r="66">
      <c r="A66" s="43" t="inlineStr">
        <is>
          <t>2026.04.02 當沖</t>
        </is>
      </c>
      <c r="B66" s="74" t="inlineStr">
        <is>
          <t>買</t>
        </is>
      </c>
      <c r="C66" s="74">
        <f>SUMIF(A55:A56,"&lt;0")</f>
        <v/>
      </c>
    </row>
    <row r="67">
      <c r="A67" s="43">
        <f>"NVDA " &amp; COUNT(C55:C56) * 100 &amp; "股"</f>
        <v/>
      </c>
      <c r="B67" s="74" t="inlineStr">
        <is>
          <t>賣</t>
        </is>
      </c>
      <c r="C67" s="74">
        <f>SUMIF(A55:A56,"&gt;0")</f>
        <v/>
      </c>
    </row>
    <row r="68" ht="17.25" customHeight="1" s="67" thickBot="1">
      <c r="A68" s="70" t="n"/>
      <c r="B68" s="74" t="inlineStr">
        <is>
          <t>當日損益</t>
        </is>
      </c>
      <c r="C68" s="75">
        <f>+C66+C67</f>
        <v/>
      </c>
    </row>
    <row r="69" ht="17.25" customHeight="1" s="67" thickTop="1">
      <c r="A69" s="70" t="n"/>
      <c r="B69" s="74" t="inlineStr">
        <is>
          <t>當日損益 %</t>
        </is>
      </c>
      <c r="C69" s="36">
        <f>C68/ABS(C66)</f>
        <v/>
      </c>
    </row>
    <row r="70">
      <c r="A70" s="70" t="n"/>
      <c r="B70" s="43" t="n"/>
      <c r="C70" s="78">
        <f>+A63+A64+A70</f>
        <v/>
      </c>
    </row>
    <row r="71">
      <c r="A71" s="43" t="inlineStr">
        <is>
          <t>累積留倉   200股</t>
        </is>
      </c>
      <c r="B71" s="43" t="n"/>
      <c r="C71" s="43" t="n"/>
    </row>
    <row r="72">
      <c r="A72" s="43" t="inlineStr">
        <is>
          <t>2026.02.27 留倉</t>
        </is>
      </c>
      <c r="B72" s="43" t="inlineStr">
        <is>
          <t>買 100股</t>
        </is>
      </c>
      <c r="C72" s="74" t="n">
        <v>-68407</v>
      </c>
    </row>
    <row r="73">
      <c r="A73" s="43" t="inlineStr">
        <is>
          <t>2026.03.05 留倉</t>
        </is>
      </c>
      <c r="B73" s="43" t="inlineStr">
        <is>
          <t>買 100股</t>
        </is>
      </c>
      <c r="C73" s="73" t="n">
        <v>-68311.62</v>
      </c>
    </row>
    <row r="74">
      <c r="A74" s="5" t="n"/>
      <c r="B74" s="43" t="n"/>
      <c r="C74" s="43" t="n"/>
    </row>
    <row r="75">
      <c r="A75" s="5" t="n"/>
      <c r="B75" s="43" t="n"/>
      <c r="C75" s="43" t="n"/>
    </row>
    <row r="76">
      <c r="A76" s="5" t="n"/>
      <c r="B76" s="43" t="n"/>
      <c r="C76" s="43" t="n"/>
    </row>
    <row r="77">
      <c r="A77" s="5" t="n"/>
      <c r="B77" s="43" t="n"/>
      <c r="C77" s="43" t="n"/>
    </row>
    <row r="78">
      <c r="A78" s="5" t="n"/>
      <c r="B78" s="43" t="n"/>
      <c r="C78" s="43" t="n"/>
    </row>
    <row r="79">
      <c r="A79" s="5" t="n"/>
      <c r="B79" s="43" t="n"/>
      <c r="C79" s="43" t="n"/>
    </row>
    <row r="80">
      <c r="A80" s="5" t="n"/>
      <c r="B80" s="43" t="n"/>
      <c r="C80" s="43" t="n"/>
    </row>
    <row r="81">
      <c r="A81" s="5" t="n"/>
      <c r="B81" s="43" t="n"/>
      <c r="C81" s="43" t="n"/>
    </row>
    <row r="82" ht="30" customHeight="1" s="67">
      <c r="A82" s="70" t="inlineStr">
        <is>
          <t>2026.04.06</t>
        </is>
      </c>
      <c r="B82" s="71" t="n">
        <v>-39283.76</v>
      </c>
      <c r="C82" s="72" t="inlineStr">
        <is>
          <t>損益</t>
        </is>
      </c>
    </row>
    <row r="83">
      <c r="A83" s="74" t="n">
        <v>-65661</v>
      </c>
      <c r="B83" s="71">
        <f>+B82+A83</f>
        <v/>
      </c>
      <c r="C83" s="73" t="n"/>
    </row>
    <row r="84">
      <c r="A84" s="74">
        <f>65680.01-0.02</f>
        <v/>
      </c>
      <c r="B84" s="71">
        <f>+B83+A84</f>
        <v/>
      </c>
      <c r="C84" s="73">
        <f>+A83+A84</f>
        <v/>
      </c>
    </row>
    <row r="85">
      <c r="A85" s="74" t="n">
        <v>-26289.8</v>
      </c>
      <c r="B85" s="71">
        <f>+B84+A85</f>
        <v/>
      </c>
      <c r="C85" s="73" t="n"/>
    </row>
    <row r="86">
      <c r="A86" s="74" t="n">
        <v>-39434.7</v>
      </c>
      <c r="B86" s="71">
        <f>+B85+A86</f>
        <v/>
      </c>
      <c r="C86" s="73" t="n"/>
    </row>
    <row r="87">
      <c r="A87" s="74">
        <f>65734.01-0.02</f>
        <v/>
      </c>
      <c r="B87" s="71">
        <f>+B86+A87</f>
        <v/>
      </c>
      <c r="C87" s="73">
        <f>+A87+A86+A85</f>
        <v/>
      </c>
    </row>
    <row r="88">
      <c r="A88" s="74" t="n">
        <v>-65762.28999999999</v>
      </c>
      <c r="B88" s="71">
        <f>+B87+A88</f>
        <v/>
      </c>
      <c r="C88" s="73" t="n"/>
    </row>
    <row r="89">
      <c r="A89" s="74">
        <f>65752.78-0.02</f>
        <v/>
      </c>
      <c r="B89" s="71">
        <f>+B88+A89</f>
        <v/>
      </c>
      <c r="C89" s="73">
        <f>+A88+A89</f>
        <v/>
      </c>
    </row>
    <row r="90">
      <c r="A90" s="74" t="n">
        <v>-65784.2</v>
      </c>
      <c r="B90" s="71">
        <f>+B89+A90</f>
        <v/>
      </c>
      <c r="C90" s="73" t="n"/>
    </row>
    <row r="91">
      <c r="A91" s="74">
        <f>65779-0.02</f>
        <v/>
      </c>
      <c r="B91" s="71">
        <f>+B90+A91</f>
        <v/>
      </c>
      <c r="C91" s="73">
        <f>+A90+A91</f>
        <v/>
      </c>
    </row>
    <row r="92">
      <c r="A92" s="74" t="n">
        <v>-65678.99000000001</v>
      </c>
      <c r="B92" s="71">
        <f>+B91+A92</f>
        <v/>
      </c>
      <c r="C92" s="73" t="n"/>
    </row>
    <row r="93">
      <c r="A93" s="74">
        <f>65751-0.02</f>
        <v/>
      </c>
      <c r="B93" s="71">
        <f>+B92+A93</f>
        <v/>
      </c>
      <c r="C93" s="73">
        <f>+A92+A93</f>
        <v/>
      </c>
    </row>
    <row r="94">
      <c r="A94" s="74" t="n">
        <v>-65754.91</v>
      </c>
      <c r="B94" s="71">
        <f>+B93+A94</f>
        <v/>
      </c>
      <c r="C94" s="73" t="n"/>
    </row>
    <row r="95">
      <c r="A95" s="74">
        <f>65804-0.02</f>
        <v/>
      </c>
      <c r="B95" s="71">
        <f>+B94+A95</f>
        <v/>
      </c>
      <c r="C95" s="73">
        <f>+A94+A95</f>
        <v/>
      </c>
    </row>
    <row r="96">
      <c r="A96" s="74" t="n">
        <v>-658.16</v>
      </c>
      <c r="B96" s="71">
        <f>+B95+A96</f>
        <v/>
      </c>
      <c r="C96" s="73" t="n"/>
    </row>
    <row r="97">
      <c r="A97" s="74" t="n">
        <v>-65158.82</v>
      </c>
      <c r="B97" s="71">
        <f>+B96+A97</f>
        <v/>
      </c>
      <c r="C97" s="73" t="n"/>
    </row>
    <row r="98">
      <c r="A98" s="74">
        <f>39512.4-0.01</f>
        <v/>
      </c>
      <c r="B98" s="71">
        <f>+B97+A98</f>
        <v/>
      </c>
      <c r="C98" s="73" t="n"/>
    </row>
    <row r="99">
      <c r="A99" s="74">
        <f>26341.6-0.01</f>
        <v/>
      </c>
      <c r="B99" s="71">
        <f>+B98+A99</f>
        <v/>
      </c>
      <c r="C99" s="73">
        <f>+A96+A97+A98+A99</f>
        <v/>
      </c>
    </row>
    <row r="100">
      <c r="A100" s="74" t="n">
        <v>-65864.99000000001</v>
      </c>
      <c r="B100" s="71">
        <f>+B99+A100</f>
        <v/>
      </c>
      <c r="C100" s="73" t="n"/>
    </row>
    <row r="101">
      <c r="A101" s="74">
        <f>65872-0.02</f>
        <v/>
      </c>
      <c r="B101" s="71">
        <f>+B100+A101</f>
        <v/>
      </c>
      <c r="C101" s="73">
        <f>+A100+A101</f>
        <v/>
      </c>
    </row>
    <row r="102">
      <c r="A102" s="74" t="n">
        <v>-65838.99000000001</v>
      </c>
      <c r="B102" s="71">
        <f>+B101+A102</f>
        <v/>
      </c>
      <c r="C102" s="73" t="n"/>
    </row>
    <row r="103">
      <c r="A103" s="74">
        <f>65825.5-0.02</f>
        <v/>
      </c>
      <c r="B103" s="71">
        <f>+B102+A103</f>
        <v/>
      </c>
      <c r="C103" s="73">
        <f>+A102+A103</f>
        <v/>
      </c>
    </row>
    <row r="104">
      <c r="A104" s="74" t="n">
        <v>-65726.5</v>
      </c>
      <c r="B104" s="71">
        <f>+B103+A104</f>
        <v/>
      </c>
      <c r="C104" s="73" t="n"/>
    </row>
    <row r="105">
      <c r="A105" s="74">
        <f>65751.01-0.02</f>
        <v/>
      </c>
      <c r="B105" s="71">
        <f>+B104+A105</f>
        <v/>
      </c>
      <c r="C105" s="73">
        <f>+A104+A105</f>
        <v/>
      </c>
    </row>
    <row r="106" ht="17.25" customHeight="1" s="67" thickBot="1">
      <c r="A106" s="43" t="n"/>
      <c r="B106" s="74" t="inlineStr">
        <is>
          <t xml:space="preserve">合計 </t>
        </is>
      </c>
      <c r="C106" s="75">
        <f>SUM(C83:C105)</f>
        <v/>
      </c>
    </row>
    <row r="107" ht="17.25" customHeight="1" s="67" thickTop="1">
      <c r="A107" s="43" t="n"/>
      <c r="B107" s="74" t="inlineStr">
        <is>
          <t>核驗</t>
        </is>
      </c>
      <c r="C107" s="76">
        <f>+B105-B82</f>
        <v/>
      </c>
    </row>
    <row r="108">
      <c r="A108" s="43" t="n"/>
      <c r="B108" s="71" t="n"/>
      <c r="C108" s="43" t="n"/>
    </row>
    <row r="109">
      <c r="A109" s="43" t="n"/>
      <c r="B109" s="71" t="n"/>
      <c r="C109" s="43" t="n"/>
    </row>
    <row r="110">
      <c r="A110" s="43" t="inlineStr">
        <is>
          <t>2026.04.06當沖</t>
        </is>
      </c>
      <c r="B110" s="74" t="inlineStr">
        <is>
          <t>買</t>
        </is>
      </c>
      <c r="C110" s="74">
        <f>SUMIF(A83:A105,"&lt;0")</f>
        <v/>
      </c>
    </row>
    <row r="111">
      <c r="A111" s="43">
        <f>"SPY " &amp; COUNT(C83:C105) * 100 &amp; "股"</f>
        <v/>
      </c>
      <c r="B111" s="74" t="inlineStr">
        <is>
          <t>賣</t>
        </is>
      </c>
      <c r="C111" s="74">
        <f>SUMIF(A83:A105,"&gt;0")</f>
        <v/>
      </c>
    </row>
    <row r="112" ht="17.25" customHeight="1" s="67" thickBot="1">
      <c r="A112" s="70" t="n"/>
      <c r="B112" s="74" t="inlineStr">
        <is>
          <t>當日損益</t>
        </is>
      </c>
      <c r="C112" s="75">
        <f>+C110+C111</f>
        <v/>
      </c>
    </row>
    <row r="113" ht="17.25" customHeight="1" s="67" thickTop="1">
      <c r="A113" s="70" t="n"/>
      <c r="B113" s="74" t="inlineStr">
        <is>
          <t>當日損益 %</t>
        </is>
      </c>
      <c r="C113" s="36">
        <f>C112/ABS(C110)</f>
        <v/>
      </c>
    </row>
    <row r="114">
      <c r="A114" s="70" t="n"/>
      <c r="B114" s="43" t="n"/>
      <c r="C114" s="78">
        <f>+A112+A113+A114</f>
        <v/>
      </c>
    </row>
    <row r="115">
      <c r="A115" s="43" t="inlineStr">
        <is>
          <t>累積留倉   200股</t>
        </is>
      </c>
      <c r="B115" s="43" t="n"/>
      <c r="C115" s="43" t="n"/>
    </row>
    <row r="116">
      <c r="A116" s="43" t="inlineStr">
        <is>
          <t>2026.02.27 留倉</t>
        </is>
      </c>
      <c r="B116" s="43" t="inlineStr">
        <is>
          <t>買 100股</t>
        </is>
      </c>
      <c r="C116" s="74" t="n">
        <v>-68407</v>
      </c>
    </row>
    <row r="117">
      <c r="A117" s="43" t="inlineStr">
        <is>
          <t>2026.03.05 留倉</t>
        </is>
      </c>
      <c r="B117" s="43" t="inlineStr">
        <is>
          <t>買 100股</t>
        </is>
      </c>
      <c r="C117" s="73" t="n">
        <v>-68311.62</v>
      </c>
    </row>
    <row r="118">
      <c r="A118" s="5" t="n"/>
      <c r="B118" s="43" t="n"/>
      <c r="C118" s="43" t="n"/>
    </row>
    <row r="119">
      <c r="A119" s="5" t="n"/>
      <c r="B119" s="43" t="n"/>
      <c r="C119" s="43" t="n"/>
    </row>
    <row r="120">
      <c r="A120" s="5" t="n"/>
      <c r="B120" s="43" t="n"/>
      <c r="C120" s="43" t="n"/>
    </row>
    <row r="121" ht="30" customHeight="1" s="67">
      <c r="A121" s="70" t="inlineStr">
        <is>
          <t>2026.04.07</t>
        </is>
      </c>
      <c r="B121" s="71" t="n">
        <v>-40053.21</v>
      </c>
      <c r="C121" s="72" t="inlineStr">
        <is>
          <t>損益</t>
        </is>
      </c>
    </row>
    <row r="122">
      <c r="A122" s="74" t="n">
        <v>-65606.5</v>
      </c>
      <c r="B122" s="71">
        <f>+B121+A122</f>
        <v/>
      </c>
      <c r="C122" s="73" t="n"/>
    </row>
    <row r="123">
      <c r="A123" s="74">
        <f>65600.14-1.37</f>
        <v/>
      </c>
      <c r="B123" s="71">
        <f>+B122+A123</f>
        <v/>
      </c>
      <c r="C123" s="73">
        <f>+A122+A123</f>
        <v/>
      </c>
    </row>
    <row r="124">
      <c r="A124" s="74" t="n">
        <v>-65394.5</v>
      </c>
      <c r="B124" s="71">
        <f>+B123+A124</f>
        <v/>
      </c>
      <c r="C124" s="73" t="n"/>
    </row>
    <row r="125">
      <c r="A125" s="74">
        <f>65495.5-1.37</f>
        <v/>
      </c>
      <c r="B125" s="71">
        <f>+B124+A125</f>
        <v/>
      </c>
      <c r="C125" s="73">
        <f>+A124+A125</f>
        <v/>
      </c>
    </row>
    <row r="126">
      <c r="A126" s="74" t="n">
        <v>-65633.5</v>
      </c>
      <c r="B126" s="71">
        <f>+B125+A126</f>
        <v/>
      </c>
      <c r="C126" s="73" t="n"/>
    </row>
    <row r="127">
      <c r="A127" s="74">
        <f>65645-1.37</f>
        <v/>
      </c>
      <c r="B127" s="71">
        <f>+B126+A127</f>
        <v/>
      </c>
      <c r="C127" s="73">
        <f>+A126+A127</f>
        <v/>
      </c>
    </row>
    <row r="128" ht="17.25" customHeight="1" s="67" thickBot="1">
      <c r="A128" s="43" t="n"/>
      <c r="B128" s="74" t="inlineStr">
        <is>
          <t xml:space="preserve">合計 </t>
        </is>
      </c>
      <c r="C128" s="75">
        <f>SUM(C122:C127)</f>
        <v/>
      </c>
    </row>
    <row r="129" ht="17.25" customHeight="1" s="67" thickTop="1">
      <c r="A129" s="43" t="n"/>
      <c r="B129" s="74" t="inlineStr">
        <is>
          <t>核驗</t>
        </is>
      </c>
      <c r="C129" s="76">
        <f>+B127-B121</f>
        <v/>
      </c>
    </row>
    <row r="130">
      <c r="A130" s="43" t="n"/>
      <c r="B130" s="71" t="n"/>
      <c r="C130" s="43" t="n"/>
    </row>
    <row r="131">
      <c r="A131" s="43" t="n"/>
      <c r="B131" s="71" t="n"/>
      <c r="C131" s="43" t="n"/>
    </row>
    <row r="132">
      <c r="A132" s="43" t="inlineStr">
        <is>
          <t>2026.04.07當沖</t>
        </is>
      </c>
      <c r="B132" s="74" t="inlineStr">
        <is>
          <t>買</t>
        </is>
      </c>
      <c r="C132" s="74">
        <f>SUMIF(A122:A127,"&lt;0")</f>
        <v/>
      </c>
    </row>
    <row r="133">
      <c r="A133" s="43">
        <f>"SPY " &amp; COUNT(C122:C127) * 100 &amp; "股"</f>
        <v/>
      </c>
      <c r="B133" s="74" t="inlineStr">
        <is>
          <t>賣</t>
        </is>
      </c>
      <c r="C133" s="74">
        <f>SUMIF(A122:A127,"&gt;0")</f>
        <v/>
      </c>
    </row>
    <row r="134" ht="17.25" customHeight="1" s="67" thickBot="1">
      <c r="A134" s="70" t="n"/>
      <c r="B134" s="74" t="inlineStr">
        <is>
          <t>當日損益</t>
        </is>
      </c>
      <c r="C134" s="75">
        <f>+C132+C133</f>
        <v/>
      </c>
    </row>
    <row r="135" ht="17.25" customHeight="1" s="67" thickTop="1">
      <c r="A135" s="70" t="n"/>
      <c r="B135" s="74" t="inlineStr">
        <is>
          <t>當日損益 %</t>
        </is>
      </c>
      <c r="C135" s="36">
        <f>C134/ABS(C132)</f>
        <v/>
      </c>
    </row>
    <row r="136">
      <c r="A136" s="70" t="n"/>
      <c r="B136" s="43" t="n"/>
      <c r="C136" s="78">
        <f>+A134+A135+A136</f>
        <v/>
      </c>
    </row>
    <row r="137">
      <c r="A137" s="43" t="inlineStr">
        <is>
          <t>累積留倉   200股</t>
        </is>
      </c>
      <c r="B137" s="43" t="n"/>
      <c r="C137" s="43" t="n"/>
    </row>
    <row r="138">
      <c r="A138" s="43" t="inlineStr">
        <is>
          <t>2026.02.27 留倉</t>
        </is>
      </c>
      <c r="B138" s="43" t="inlineStr">
        <is>
          <t>買 100股</t>
        </is>
      </c>
      <c r="C138" s="74" t="n">
        <v>-68407</v>
      </c>
    </row>
    <row r="139">
      <c r="A139" s="43" t="inlineStr">
        <is>
          <t>2026.03.05 留倉</t>
        </is>
      </c>
      <c r="B139" s="43" t="inlineStr">
        <is>
          <t>買 100股</t>
        </is>
      </c>
      <c r="C139" s="73" t="n">
        <v>-68311.62</v>
      </c>
    </row>
    <row r="140">
      <c r="A140" s="5" t="n"/>
      <c r="B140" s="43" t="n"/>
      <c r="C140" s="43" t="n"/>
    </row>
    <row r="141">
      <c r="A141" s="5" t="n"/>
      <c r="B141" s="43" t="n"/>
      <c r="C141" s="43" t="n"/>
    </row>
    <row r="142" ht="30" customHeight="1" s="67">
      <c r="A142" s="70" t="inlineStr">
        <is>
          <t>2026.04.08</t>
        </is>
      </c>
      <c r="B142" s="71" t="n">
        <v>-39863.45</v>
      </c>
      <c r="C142" s="72" t="inlineStr">
        <is>
          <t>損益</t>
        </is>
      </c>
    </row>
    <row r="143">
      <c r="A143" s="74" t="n">
        <v>-67573.5</v>
      </c>
      <c r="B143" s="71">
        <f>+B142+A143</f>
        <v/>
      </c>
      <c r="C143" s="73" t="n"/>
    </row>
    <row r="144">
      <c r="A144" s="74">
        <f>67391.56-1.41</f>
        <v/>
      </c>
      <c r="B144" s="71">
        <f>+B143+A144</f>
        <v/>
      </c>
      <c r="C144" s="73">
        <f>+A143+A144</f>
        <v/>
      </c>
    </row>
    <row r="145">
      <c r="A145" s="74" t="n">
        <v>-67425.49000000001</v>
      </c>
      <c r="B145" s="71">
        <f>+B144+A145</f>
        <v/>
      </c>
      <c r="C145" s="73" t="n"/>
    </row>
    <row r="146">
      <c r="A146" s="74">
        <f>67442.01-1.41</f>
        <v/>
      </c>
      <c r="B146" s="71">
        <f>+B145+A146</f>
        <v/>
      </c>
      <c r="C146" s="73">
        <f>+A145+A146</f>
        <v/>
      </c>
    </row>
    <row r="147">
      <c r="A147" s="74" t="n">
        <v>-67490.64999999999</v>
      </c>
      <c r="B147" s="71">
        <f>+B146+A147</f>
        <v/>
      </c>
      <c r="C147" s="73" t="n"/>
    </row>
    <row r="148">
      <c r="A148" s="74">
        <f>67493.5-1.41</f>
        <v/>
      </c>
      <c r="B148" s="71">
        <f>+B147+A148</f>
        <v/>
      </c>
      <c r="C148" s="73">
        <f>+A147+A148</f>
        <v/>
      </c>
    </row>
    <row r="149">
      <c r="A149" s="74" t="n">
        <v>-23639.83</v>
      </c>
      <c r="B149" s="71">
        <f>+B148+A149</f>
        <v/>
      </c>
      <c r="C149" s="73" t="n"/>
    </row>
    <row r="150">
      <c r="A150" s="74" t="n">
        <v>-43902.54</v>
      </c>
      <c r="B150" s="71">
        <f>+B149+A150</f>
        <v/>
      </c>
      <c r="C150" s="73" t="n"/>
    </row>
    <row r="151">
      <c r="A151" s="74">
        <f>67566.5-1.41</f>
        <v/>
      </c>
      <c r="B151" s="71">
        <f>+B150+A151</f>
        <v/>
      </c>
      <c r="C151" s="73">
        <f>+A149+A150+A151</f>
        <v/>
      </c>
    </row>
    <row r="152">
      <c r="A152" s="74" t="n">
        <v>-67523.13</v>
      </c>
      <c r="B152" s="71">
        <f>+B151+A152</f>
        <v/>
      </c>
      <c r="C152" s="73" t="n"/>
    </row>
    <row r="153">
      <c r="A153" s="74">
        <f>67526.01-1.41</f>
        <v/>
      </c>
      <c r="B153" s="71">
        <f>+B152+A153</f>
        <v/>
      </c>
      <c r="C153" s="73">
        <f>+A152+A153</f>
        <v/>
      </c>
    </row>
    <row r="154">
      <c r="A154" s="74" t="n">
        <v>-67528.97</v>
      </c>
      <c r="B154" s="71">
        <f>+B153+A154</f>
        <v/>
      </c>
      <c r="C154" s="73" t="n"/>
    </row>
    <row r="155">
      <c r="A155" s="74">
        <f>67493.78-1.41</f>
        <v/>
      </c>
      <c r="B155" s="71">
        <f>+B154+A155</f>
        <v/>
      </c>
      <c r="C155" s="73">
        <f>+A154+A155</f>
        <v/>
      </c>
    </row>
    <row r="156">
      <c r="A156" s="74" t="n">
        <v>-67495.5</v>
      </c>
      <c r="B156" s="71">
        <f>+B155+A156</f>
        <v/>
      </c>
      <c r="C156" s="73" t="n"/>
    </row>
    <row r="157">
      <c r="A157" s="74">
        <f>67506.5-1.41</f>
        <v/>
      </c>
      <c r="B157" s="71">
        <f>+B156+A157</f>
        <v/>
      </c>
      <c r="C157" s="73">
        <f>+A156+A157</f>
        <v/>
      </c>
    </row>
    <row r="158">
      <c r="A158" s="74" t="n">
        <v>-67523.87</v>
      </c>
      <c r="B158" s="71">
        <f>+B157+A158</f>
        <v/>
      </c>
      <c r="C158" s="73" t="n"/>
    </row>
    <row r="159">
      <c r="A159" s="74">
        <f>67539.62-1.41</f>
        <v/>
      </c>
      <c r="B159" s="71">
        <f>+B158+A159</f>
        <v/>
      </c>
      <c r="C159" s="73">
        <f>+A158+A159</f>
        <v/>
      </c>
    </row>
    <row r="160">
      <c r="A160" s="74" t="n">
        <v>-67535</v>
      </c>
      <c r="B160" s="71">
        <f>+B159+A160</f>
        <v/>
      </c>
      <c r="C160" s="73" t="n"/>
    </row>
    <row r="161">
      <c r="A161" s="74">
        <f>3376.53-0.07</f>
        <v/>
      </c>
      <c r="B161" s="71">
        <f>+B160+A161</f>
        <v/>
      </c>
      <c r="C161" s="73" t="n"/>
    </row>
    <row r="162">
      <c r="A162" s="74">
        <f>27012-0.57</f>
        <v/>
      </c>
      <c r="B162" s="71">
        <f>+B161+A162</f>
        <v/>
      </c>
      <c r="C162" s="73" t="n"/>
    </row>
    <row r="163">
      <c r="A163" s="74">
        <f>37141.51-0.77</f>
        <v/>
      </c>
      <c r="B163" s="71">
        <f>+B162+A163</f>
        <v/>
      </c>
      <c r="C163" s="73">
        <f>+A163+A162+A161+A160</f>
        <v/>
      </c>
    </row>
    <row r="164">
      <c r="A164" s="74" t="n">
        <v>-67531.5</v>
      </c>
      <c r="B164" s="71">
        <f>+B163+A164</f>
        <v/>
      </c>
      <c r="C164" s="73" t="n"/>
    </row>
    <row r="165">
      <c r="A165" s="74">
        <f>6753.4-0.14</f>
        <v/>
      </c>
      <c r="B165" s="71">
        <f>+B164+A165</f>
        <v/>
      </c>
      <c r="C165" s="73" t="n"/>
    </row>
    <row r="166">
      <c r="A166" s="74">
        <f>60780.61-1.27</f>
        <v/>
      </c>
      <c r="B166" s="71">
        <f>+B165+A166</f>
        <v/>
      </c>
      <c r="C166" s="73">
        <f>+A166+A165+A164</f>
        <v/>
      </c>
    </row>
    <row r="167">
      <c r="A167" s="74" t="n">
        <v>-67564.5</v>
      </c>
      <c r="B167" s="71">
        <f>+B166+A167</f>
        <v/>
      </c>
      <c r="C167" s="73" t="n"/>
    </row>
    <row r="168">
      <c r="A168" s="74">
        <f>67571.5-1.41</f>
        <v/>
      </c>
      <c r="B168" s="71">
        <f>+B167+A168</f>
        <v/>
      </c>
      <c r="C168" s="73">
        <f>+A167+A168</f>
        <v/>
      </c>
    </row>
    <row r="169">
      <c r="A169" s="74" t="n">
        <v>-67559.5</v>
      </c>
      <c r="B169" s="71">
        <f>+B168+A169</f>
        <v/>
      </c>
      <c r="C169" s="73" t="n"/>
    </row>
    <row r="170">
      <c r="A170" s="74">
        <f>67561-1.41</f>
        <v/>
      </c>
      <c r="B170" s="71">
        <f>+B169+A170</f>
        <v/>
      </c>
      <c r="C170" s="73">
        <f>+A169+A170</f>
        <v/>
      </c>
    </row>
    <row r="171" ht="17.25" customHeight="1" s="67" thickBot="1">
      <c r="A171" s="43" t="n"/>
      <c r="B171" s="74" t="inlineStr">
        <is>
          <t xml:space="preserve">合計 </t>
        </is>
      </c>
      <c r="C171" s="75">
        <f>SUM(C143:C170)</f>
        <v/>
      </c>
    </row>
    <row r="172" ht="17.25" customHeight="1" s="67" thickTop="1">
      <c r="A172" s="43" t="n"/>
      <c r="B172" s="74" t="inlineStr">
        <is>
          <t>核驗</t>
        </is>
      </c>
      <c r="C172" s="76">
        <f>+B170-B142</f>
        <v/>
      </c>
    </row>
    <row r="173">
      <c r="A173" s="43" t="n"/>
      <c r="B173" s="71" t="n"/>
      <c r="C173" s="43" t="n"/>
    </row>
    <row r="174">
      <c r="A174" s="43" t="n"/>
      <c r="B174" s="71" t="n"/>
      <c r="C174" s="43" t="n"/>
    </row>
    <row r="175">
      <c r="A175" s="43" t="inlineStr">
        <is>
          <t>2026.04.08當沖</t>
        </is>
      </c>
      <c r="B175" s="74" t="inlineStr">
        <is>
          <t>買</t>
        </is>
      </c>
      <c r="C175" s="74">
        <f>SUMIF(A143:A170,"&lt;0")</f>
        <v/>
      </c>
    </row>
    <row r="176">
      <c r="A176" s="43">
        <f>"SPY " &amp; COUNT(C143:C170) * 100 &amp; "股"</f>
        <v/>
      </c>
      <c r="B176" s="74" t="inlineStr">
        <is>
          <t>賣</t>
        </is>
      </c>
      <c r="C176" s="74">
        <f>SUMIF(A143:A170,"&gt;0")</f>
        <v/>
      </c>
    </row>
    <row r="177" ht="17.25" customHeight="1" s="67" thickBot="1">
      <c r="A177" s="70" t="n"/>
      <c r="B177" s="74" t="inlineStr">
        <is>
          <t>當日損益</t>
        </is>
      </c>
      <c r="C177" s="75">
        <f>+C175+C176</f>
        <v/>
      </c>
    </row>
    <row r="178" ht="17.25" customHeight="1" s="67" thickTop="1">
      <c r="A178" s="70" t="n"/>
      <c r="B178" s="74" t="inlineStr">
        <is>
          <t>當日損益 %</t>
        </is>
      </c>
      <c r="C178" s="36">
        <f>C177/ABS(C175)</f>
        <v/>
      </c>
    </row>
    <row r="179">
      <c r="A179" s="70" t="n"/>
      <c r="B179" s="43" t="n"/>
      <c r="C179" s="78">
        <f>+A177+A178+A179</f>
        <v/>
      </c>
    </row>
    <row r="180">
      <c r="A180" s="43" t="inlineStr">
        <is>
          <t>累積留倉   200股</t>
        </is>
      </c>
      <c r="B180" s="43" t="n"/>
      <c r="C180" s="43" t="n"/>
    </row>
    <row r="181">
      <c r="A181" s="43" t="inlineStr">
        <is>
          <t>2026.02.27 留倉</t>
        </is>
      </c>
      <c r="B181" s="43" t="inlineStr">
        <is>
          <t>買 100股</t>
        </is>
      </c>
      <c r="C181" s="74" t="n">
        <v>-68407</v>
      </c>
    </row>
    <row r="182">
      <c r="A182" s="43" t="inlineStr">
        <is>
          <t>2026.03.05 留倉</t>
        </is>
      </c>
      <c r="B182" s="43" t="inlineStr">
        <is>
          <t>買 100股</t>
        </is>
      </c>
      <c r="C182" s="73" t="n">
        <v>-68311.62</v>
      </c>
    </row>
    <row r="183">
      <c r="A183" s="43" t="n"/>
      <c r="B183" s="43" t="n"/>
      <c r="C183" s="73" t="n"/>
    </row>
    <row r="184">
      <c r="A184" s="5" t="n"/>
      <c r="B184" s="43" t="n"/>
      <c r="C184" s="43" t="n"/>
    </row>
    <row r="185" ht="30" customHeight="1" s="67">
      <c r="A185" s="70" t="inlineStr">
        <is>
          <t>2026.04.09</t>
        </is>
      </c>
      <c r="B185" s="71" t="n">
        <v>-39761.42</v>
      </c>
      <c r="C185" s="72" t="inlineStr">
        <is>
          <t>損益</t>
        </is>
      </c>
    </row>
    <row r="186">
      <c r="A186" s="6" t="n">
        <v>-67533</v>
      </c>
      <c r="B186" s="71">
        <f>+B185+A186</f>
        <v/>
      </c>
      <c r="C186" s="73" t="n"/>
    </row>
    <row r="187">
      <c r="A187" s="6" t="n">
        <v>67522.09</v>
      </c>
      <c r="B187" s="71">
        <f>+B186+A187</f>
        <v/>
      </c>
      <c r="C187" s="73" t="n">
        <v>-10.91</v>
      </c>
    </row>
    <row r="188">
      <c r="A188" s="6" t="n">
        <v>-67495.99000000001</v>
      </c>
      <c r="B188" s="71">
        <f>+B187+A188</f>
        <v/>
      </c>
      <c r="C188" s="73" t="n"/>
    </row>
    <row r="189">
      <c r="A189" s="6" t="n">
        <v>67469.09</v>
      </c>
      <c r="B189" s="71">
        <f>+B188+A189</f>
        <v/>
      </c>
      <c r="C189" s="73" t="n">
        <v>-26.9</v>
      </c>
    </row>
    <row r="190">
      <c r="A190" s="6" t="n">
        <v>-67452.37</v>
      </c>
      <c r="B190" s="71">
        <f>+B189+A190</f>
        <v/>
      </c>
      <c r="C190" s="73" t="n"/>
    </row>
    <row r="191">
      <c r="A191" s="6" t="n">
        <v>67445.59</v>
      </c>
      <c r="B191" s="71">
        <f>+B190+A191</f>
        <v/>
      </c>
      <c r="C191" s="73" t="n">
        <v>-6.78</v>
      </c>
    </row>
    <row r="192">
      <c r="A192" s="6" t="n">
        <v>-67440</v>
      </c>
      <c r="B192" s="71">
        <f>+B191+A192</f>
        <v/>
      </c>
      <c r="C192" s="73" t="n"/>
    </row>
    <row r="193">
      <c r="A193" s="6" t="n">
        <v>67468.42</v>
      </c>
      <c r="B193" s="71">
        <f>+B192+A193</f>
        <v/>
      </c>
      <c r="C193" s="73" t="n">
        <v>28.42</v>
      </c>
    </row>
    <row r="194">
      <c r="A194" s="6" t="n">
        <v>-67493.5</v>
      </c>
      <c r="B194" s="71">
        <f>+B193+A194</f>
        <v/>
      </c>
      <c r="C194" s="73" t="n"/>
    </row>
    <row r="195">
      <c r="A195" s="6" t="n">
        <v>67499.09</v>
      </c>
      <c r="B195" s="71">
        <f>+B194+A195</f>
        <v/>
      </c>
      <c r="C195" s="73" t="n">
        <v>5.59</v>
      </c>
    </row>
    <row r="196">
      <c r="A196" s="6" t="n">
        <v>-67503.5</v>
      </c>
      <c r="B196" s="71">
        <f>+B195+A196</f>
        <v/>
      </c>
      <c r="C196" s="73" t="n"/>
    </row>
    <row r="197">
      <c r="A197" s="6" t="n">
        <v>67511.09</v>
      </c>
      <c r="B197" s="71">
        <f>+B196+A197</f>
        <v/>
      </c>
      <c r="C197" s="73" t="n">
        <v>7.59</v>
      </c>
    </row>
    <row r="198">
      <c r="A198" s="6" t="n">
        <v>-67524.99000000001</v>
      </c>
      <c r="B198" s="71">
        <f>+B197+A198</f>
        <v/>
      </c>
      <c r="C198" s="73" t="n"/>
    </row>
    <row r="199">
      <c r="A199" s="6" t="n">
        <v>67506.09</v>
      </c>
      <c r="B199" s="71">
        <f>+B198+A199</f>
        <v/>
      </c>
      <c r="C199" s="73" t="n">
        <v>-18.9</v>
      </c>
    </row>
    <row r="200">
      <c r="A200" s="6" t="n">
        <v>-67493</v>
      </c>
      <c r="B200" s="71">
        <f>+B199+A200</f>
        <v/>
      </c>
      <c r="C200" s="73" t="n"/>
    </row>
    <row r="201">
      <c r="A201" s="6" t="n">
        <v>67496.47</v>
      </c>
      <c r="B201" s="71">
        <f>+B200+A201</f>
        <v/>
      </c>
      <c r="C201" s="73" t="n">
        <v>3.47</v>
      </c>
    </row>
    <row r="202">
      <c r="A202" s="6" t="n">
        <v>-67506.5</v>
      </c>
      <c r="B202" s="71">
        <f>+B201+A202</f>
        <v/>
      </c>
      <c r="C202" s="73" t="n"/>
    </row>
    <row r="203">
      <c r="A203" s="6" t="n">
        <v>67520.59</v>
      </c>
      <c r="B203" s="71">
        <f>+B202+A203</f>
        <v/>
      </c>
      <c r="C203" s="73" t="n">
        <v>14.09</v>
      </c>
    </row>
    <row r="204">
      <c r="A204" s="6" t="n">
        <v>-67513</v>
      </c>
      <c r="B204" s="71">
        <f>+B203+A204</f>
        <v/>
      </c>
      <c r="C204" s="73" t="n"/>
    </row>
    <row r="205">
      <c r="A205" s="6" t="n">
        <v>54031.27</v>
      </c>
      <c r="B205" s="71">
        <f>+B204+A205</f>
        <v/>
      </c>
      <c r="C205" s="73" t="n"/>
    </row>
    <row r="206">
      <c r="A206" s="6" t="n">
        <v>13507.72</v>
      </c>
      <c r="B206" s="71">
        <f>+B205+A206</f>
        <v/>
      </c>
      <c r="C206" s="73" t="n">
        <v>25.99</v>
      </c>
    </row>
    <row r="207">
      <c r="A207" s="6" t="n">
        <v>-67548.5</v>
      </c>
      <c r="B207" s="71">
        <f>+B206+A207</f>
        <v/>
      </c>
      <c r="C207" s="73" t="n"/>
    </row>
    <row r="208">
      <c r="A208" s="6" t="n">
        <v>67591.92999999999</v>
      </c>
      <c r="B208" s="71">
        <f>+B207+A208</f>
        <v/>
      </c>
      <c r="C208" s="73" t="n">
        <v>43.43</v>
      </c>
    </row>
    <row r="209">
      <c r="A209" s="6" t="n">
        <v>-67595.47</v>
      </c>
      <c r="B209" s="71">
        <f>+B208+A209</f>
        <v/>
      </c>
      <c r="C209" s="73" t="n"/>
    </row>
    <row r="210">
      <c r="A210" s="6" t="n">
        <v>67621.59999999999</v>
      </c>
      <c r="B210" s="71">
        <f>+B209+A210</f>
        <v/>
      </c>
      <c r="C210" s="73" t="n">
        <v>26.13</v>
      </c>
    </row>
    <row r="211">
      <c r="A211" s="6" t="n">
        <v>-67632</v>
      </c>
      <c r="B211" s="71">
        <f>+B210+A211</f>
        <v/>
      </c>
      <c r="C211" s="73" t="n"/>
    </row>
    <row r="212">
      <c r="A212" s="6" t="n">
        <v>67613.09</v>
      </c>
      <c r="B212" s="71">
        <f>+B211+A212</f>
        <v/>
      </c>
      <c r="C212" s="73" t="n">
        <v>-18.91</v>
      </c>
    </row>
    <row r="213">
      <c r="A213" s="6" t="n">
        <v>-27098.2</v>
      </c>
      <c r="B213" s="71">
        <f>+B212+A213</f>
        <v/>
      </c>
      <c r="C213" s="73" t="n"/>
    </row>
    <row r="214">
      <c r="A214" s="6" t="n">
        <v>-40647.3</v>
      </c>
      <c r="B214" s="71">
        <f>+B213+A214</f>
        <v/>
      </c>
      <c r="C214" s="73" t="n"/>
    </row>
    <row r="215">
      <c r="A215" s="6" t="n">
        <v>67767.08</v>
      </c>
      <c r="B215" s="71">
        <f>+B214+A215</f>
        <v/>
      </c>
      <c r="C215" s="73" t="n">
        <v>21.58</v>
      </c>
    </row>
    <row r="216" ht="17.25" customHeight="1" s="67" thickBot="1">
      <c r="A216" s="43" t="n"/>
      <c r="B216" s="74" t="inlineStr">
        <is>
          <t xml:space="preserve">合計 </t>
        </is>
      </c>
      <c r="C216" s="75">
        <f>SUM(C186:C215)</f>
        <v/>
      </c>
    </row>
    <row r="217" ht="17.25" customHeight="1" s="67" thickTop="1">
      <c r="A217" s="43" t="n"/>
      <c r="B217" s="74" t="inlineStr">
        <is>
          <t>核驗</t>
        </is>
      </c>
      <c r="C217" s="76">
        <f>+B215-B185</f>
        <v/>
      </c>
    </row>
    <row r="218">
      <c r="A218" s="43" t="n"/>
      <c r="B218" s="71" t="n"/>
      <c r="C218" s="43" t="n"/>
    </row>
    <row r="219">
      <c r="A219" s="43" t="n"/>
      <c r="B219" s="71" t="n"/>
      <c r="C219" s="43" t="n"/>
    </row>
    <row r="220">
      <c r="A220" s="43" t="inlineStr">
        <is>
          <t>2026.04.09當沖</t>
        </is>
      </c>
      <c r="B220" s="74" t="inlineStr">
        <is>
          <t>買</t>
        </is>
      </c>
      <c r="C220" s="74">
        <f>SUMIF(A186:A215,"&lt;0")</f>
        <v/>
      </c>
    </row>
    <row r="221">
      <c r="A221" s="43">
        <f>"SPY " &amp; COUNT(C186:C215) * 100 &amp; "股"</f>
        <v/>
      </c>
      <c r="B221" s="74" t="inlineStr">
        <is>
          <t>賣</t>
        </is>
      </c>
      <c r="C221" s="74">
        <f>SUMIF(A186:A215,"&gt;0")</f>
        <v/>
      </c>
    </row>
    <row r="222" ht="17.25" customHeight="1" s="67" thickBot="1">
      <c r="A222" s="70" t="n"/>
      <c r="B222" s="74" t="inlineStr">
        <is>
          <t>當日損益</t>
        </is>
      </c>
      <c r="C222" s="75">
        <f>+C220+C221</f>
        <v/>
      </c>
    </row>
    <row r="223" ht="17.25" customHeight="1" s="67" thickTop="1">
      <c r="A223" s="70" t="n"/>
      <c r="B223" s="74" t="inlineStr">
        <is>
          <t>當日損益 %</t>
        </is>
      </c>
      <c r="C223" s="36">
        <f>C222/ABS(C220)</f>
        <v/>
      </c>
    </row>
    <row r="224">
      <c r="A224" s="70" t="n"/>
      <c r="B224" s="43" t="n"/>
      <c r="C224" s="78">
        <f>+A222+A223+A224</f>
        <v/>
      </c>
    </row>
    <row r="225">
      <c r="A225" s="43" t="inlineStr">
        <is>
          <t>累積留倉   200股</t>
        </is>
      </c>
      <c r="B225" s="43" t="n"/>
      <c r="C225" s="43" t="n"/>
    </row>
    <row r="226">
      <c r="A226" s="43" t="inlineStr">
        <is>
          <t>2026.02.27 留倉</t>
        </is>
      </c>
      <c r="B226" s="43" t="inlineStr">
        <is>
          <t>買 100股</t>
        </is>
      </c>
      <c r="C226" s="74" t="n">
        <v>-68407</v>
      </c>
    </row>
    <row r="227">
      <c r="A227" s="43" t="inlineStr">
        <is>
          <t>2026.03.05 留倉</t>
        </is>
      </c>
      <c r="B227" s="43" t="inlineStr">
        <is>
          <t>買 100股</t>
        </is>
      </c>
      <c r="C227" s="73" t="n">
        <v>-68311.62</v>
      </c>
    </row>
    <row r="228">
      <c r="A228" s="5" t="n"/>
      <c r="B228" s="43" t="n"/>
      <c r="C228" s="43" t="n"/>
    </row>
    <row r="229">
      <c r="A229" s="5" t="n"/>
      <c r="B229" s="43" t="n"/>
      <c r="C229" s="43" t="n"/>
    </row>
    <row r="230" ht="30.75" customHeight="1" s="67" thickBot="1">
      <c r="A230" s="70" t="inlineStr">
        <is>
          <t>2026.04.10</t>
        </is>
      </c>
      <c r="B230" s="71" t="n">
        <v>-39916.29</v>
      </c>
      <c r="C230" s="72" t="inlineStr">
        <is>
          <t>損益</t>
        </is>
      </c>
    </row>
    <row r="231" ht="17.25" customHeight="1" s="67" thickBot="1">
      <c r="A231" s="7" t="n">
        <v>-8170.2</v>
      </c>
      <c r="B231" s="71">
        <f>+B230+A231</f>
        <v/>
      </c>
      <c r="C231" s="73" t="n"/>
    </row>
    <row r="232" ht="17.25" customHeight="1" s="67" thickBot="1">
      <c r="A232" s="7" t="n">
        <v>-59915.67</v>
      </c>
      <c r="B232" s="71">
        <f>+B231+A232</f>
        <v/>
      </c>
      <c r="C232" s="73" t="n"/>
    </row>
    <row r="233" ht="17.25" customHeight="1" s="67" thickBot="1">
      <c r="A233" s="7" t="n">
        <v>68025.08</v>
      </c>
      <c r="B233" s="71">
        <f>+B232+A233</f>
        <v/>
      </c>
      <c r="C233" s="73" t="n">
        <v>-60.79</v>
      </c>
    </row>
    <row r="234" ht="17.25" customHeight="1" s="67" thickBot="1">
      <c r="A234" s="7" t="n">
        <v>-68077.41</v>
      </c>
      <c r="B234" s="71">
        <f>+B233+A234</f>
        <v/>
      </c>
      <c r="C234" s="73" t="n"/>
    </row>
    <row r="235" ht="17.25" customHeight="1" s="67" thickBot="1">
      <c r="A235" s="7" t="n">
        <v>68116.88</v>
      </c>
      <c r="B235" s="71">
        <f>+B234+A235</f>
        <v/>
      </c>
      <c r="C235" s="73" t="n">
        <v>39.47</v>
      </c>
    </row>
    <row r="236" ht="17.25" customHeight="1" s="67" thickBot="1">
      <c r="A236" s="7" t="n">
        <v>-68138.17</v>
      </c>
      <c r="B236" s="71">
        <f>+B235+A236</f>
        <v/>
      </c>
      <c r="C236" s="73" t="n"/>
    </row>
    <row r="237" ht="17.25" customHeight="1" s="67" thickBot="1">
      <c r="A237" s="7" t="n">
        <v>68131.5</v>
      </c>
      <c r="B237" s="71">
        <f>+B236+A237</f>
        <v/>
      </c>
      <c r="C237" s="73" t="n">
        <v>-6.67</v>
      </c>
    </row>
    <row r="238" ht="17.25" customHeight="1" s="67" thickBot="1">
      <c r="A238" s="7" t="n">
        <v>-68120.31</v>
      </c>
      <c r="B238" s="71">
        <f>+B237+A238</f>
        <v/>
      </c>
      <c r="C238" s="73" t="n"/>
    </row>
    <row r="239" ht="17.25" customHeight="1" s="67" thickBot="1">
      <c r="A239" s="7" t="n">
        <v>3406.21</v>
      </c>
      <c r="B239" s="71">
        <f>+B238+A239</f>
        <v/>
      </c>
      <c r="C239" s="73" t="n"/>
    </row>
    <row r="240" ht="17.25" customHeight="1" s="67" thickBot="1">
      <c r="A240" s="7" t="n">
        <v>27249.43</v>
      </c>
      <c r="B240" s="71">
        <f>+B239+A240</f>
        <v/>
      </c>
      <c r="C240" s="73" t="n"/>
    </row>
    <row r="241" ht="17.25" customHeight="1" s="67" thickBot="1">
      <c r="A241" s="7" t="n">
        <v>8855.950000000001</v>
      </c>
      <c r="B241" s="71">
        <f>+B240+A241</f>
        <v/>
      </c>
      <c r="C241" s="73" t="n"/>
    </row>
    <row r="242" ht="17.25" customHeight="1" s="67" thickBot="1">
      <c r="A242" s="7" t="n">
        <v>28611.48</v>
      </c>
      <c r="B242" s="71">
        <f>+B241+A242</f>
        <v/>
      </c>
      <c r="C242" s="73" t="n">
        <v>2.76</v>
      </c>
    </row>
    <row r="243" ht="17.25" customHeight="1" s="67" thickBot="1">
      <c r="A243" s="7" t="n">
        <v>-68145.99000000001</v>
      </c>
      <c r="B243" s="71">
        <f>+B242+A243</f>
        <v/>
      </c>
      <c r="C243" s="73" t="n"/>
    </row>
    <row r="244" ht="17.25" customHeight="1" s="67" thickBot="1">
      <c r="A244" s="7" t="n">
        <v>68148.89</v>
      </c>
      <c r="B244" s="71">
        <f>+B243+A244</f>
        <v/>
      </c>
      <c r="C244" s="73" t="n">
        <v>2.9</v>
      </c>
    </row>
    <row r="245" ht="17.25" customHeight="1" s="67" thickBot="1">
      <c r="A245" s="7" t="n">
        <v>-68133.74000000001</v>
      </c>
      <c r="B245" s="71">
        <f>+B244+A245</f>
        <v/>
      </c>
      <c r="C245" s="73" t="n"/>
    </row>
    <row r="246" ht="17.25" customHeight="1" s="67" thickBot="1">
      <c r="A246" s="7" t="n">
        <v>68148.58</v>
      </c>
      <c r="B246" s="71">
        <f>+B245+A246</f>
        <v/>
      </c>
      <c r="C246" s="73" t="n">
        <v>14.84</v>
      </c>
    </row>
    <row r="247" ht="17.25" customHeight="1" s="67" thickBot="1">
      <c r="A247" s="8" t="n">
        <v>-68068</v>
      </c>
      <c r="B247" s="71">
        <f>+B246+A247</f>
        <v/>
      </c>
      <c r="C247" s="73" t="n"/>
    </row>
    <row r="248" ht="17.25" customHeight="1" s="67" thickBot="1">
      <c r="A248" s="7" t="n">
        <v>-67920.66</v>
      </c>
      <c r="B248" s="71">
        <f>+B247+A248</f>
        <v/>
      </c>
      <c r="C248" s="73" t="n"/>
    </row>
    <row r="249" ht="17.25" customHeight="1" s="67" thickBot="1">
      <c r="A249" s="7" t="n">
        <v>54362.06</v>
      </c>
      <c r="B249" s="71">
        <f>+B248+A249</f>
        <v/>
      </c>
      <c r="C249" s="73" t="n"/>
    </row>
    <row r="250" ht="17.25" customHeight="1" s="67" thickBot="1">
      <c r="A250" s="7" t="n">
        <v>13590.32</v>
      </c>
      <c r="B250" s="71">
        <f>+B249+A250</f>
        <v/>
      </c>
      <c r="C250" s="73" t="n">
        <v>31.72</v>
      </c>
    </row>
    <row r="251" ht="17.25" customHeight="1" s="67" thickBot="1">
      <c r="A251" s="7" t="n">
        <v>-40742.39</v>
      </c>
      <c r="B251" s="71">
        <f>+B250+A251</f>
        <v/>
      </c>
      <c r="C251" s="73" t="n"/>
    </row>
    <row r="252" ht="17.25" customHeight="1" s="67" thickBot="1">
      <c r="A252" s="7" t="n">
        <v>-27161.6</v>
      </c>
      <c r="B252" s="71">
        <f>+B251+A252</f>
        <v/>
      </c>
      <c r="C252" s="73" t="n"/>
    </row>
    <row r="253" ht="17.25" customHeight="1" s="67" thickBot="1">
      <c r="A253" s="7" t="n">
        <v>67854.74000000001</v>
      </c>
      <c r="B253" s="71">
        <f>+B252+A253</f>
        <v/>
      </c>
      <c r="C253" s="73" t="n">
        <v>-49.25</v>
      </c>
    </row>
    <row r="254" ht="17.25" customHeight="1" s="67" thickBot="1">
      <c r="A254" s="7" t="n">
        <v>-67938.5</v>
      </c>
      <c r="B254" s="71">
        <f>+B253+A254</f>
        <v/>
      </c>
      <c r="C254" s="73" t="n"/>
    </row>
    <row r="255" ht="17.25" customHeight="1" s="67" thickBot="1">
      <c r="A255" s="7" t="n">
        <v>37372.28</v>
      </c>
      <c r="B255" s="71">
        <f>+B254+A255</f>
        <v/>
      </c>
      <c r="C255" s="73" t="n"/>
    </row>
    <row r="256" ht="17.25" customHeight="1" s="67" thickBot="1">
      <c r="A256" s="7" t="n">
        <v>30577.31</v>
      </c>
      <c r="B256" s="71">
        <f>+B255+A256</f>
        <v/>
      </c>
      <c r="C256" s="73" t="n">
        <v>11.09</v>
      </c>
    </row>
    <row r="257" ht="17.25" customHeight="1" s="67" thickBot="1">
      <c r="A257" s="8" t="n">
        <v>67940.00999999999</v>
      </c>
      <c r="B257" s="71">
        <f>+B256+A257</f>
        <v/>
      </c>
      <c r="C257" s="73" t="n">
        <v>-127.99</v>
      </c>
    </row>
    <row r="258" ht="17.25" customHeight="1" s="67" thickBot="1">
      <c r="A258" s="43" t="n"/>
      <c r="B258" s="74" t="inlineStr">
        <is>
          <t xml:space="preserve">合計 </t>
        </is>
      </c>
      <c r="C258" s="75">
        <f>SUM(C231:C257)</f>
        <v/>
      </c>
    </row>
    <row r="259" ht="17.25" customHeight="1" s="67" thickTop="1">
      <c r="A259" s="43" t="n"/>
      <c r="B259" s="74" t="inlineStr">
        <is>
          <t>核驗</t>
        </is>
      </c>
      <c r="C259" s="76">
        <f>+B257-B230</f>
        <v/>
      </c>
    </row>
    <row r="260">
      <c r="A260" s="43" t="n"/>
      <c r="B260" s="71" t="n"/>
      <c r="C260" s="43" t="n"/>
    </row>
    <row r="261">
      <c r="A261" s="43" t="n"/>
      <c r="B261" s="71" t="n"/>
      <c r="C261" s="43" t="n"/>
    </row>
    <row r="262">
      <c r="A262" s="43" t="inlineStr">
        <is>
          <t>2026.04.10當沖</t>
        </is>
      </c>
      <c r="B262" s="74" t="inlineStr">
        <is>
          <t>買</t>
        </is>
      </c>
      <c r="C262" s="74">
        <f>SUMIF(A228:A257,"&lt;0")</f>
        <v/>
      </c>
    </row>
    <row r="263">
      <c r="A263" s="43">
        <f>"SPY " &amp; COUNT(C228:C257) * 100 &amp; "股"</f>
        <v/>
      </c>
      <c r="B263" s="74" t="inlineStr">
        <is>
          <t>賣</t>
        </is>
      </c>
      <c r="C263" s="74">
        <f>SUMIF(A228:A257,"&gt;0")</f>
        <v/>
      </c>
    </row>
    <row r="264" ht="17.25" customHeight="1" s="67" thickBot="1">
      <c r="A264" s="70" t="n"/>
      <c r="B264" s="74" t="inlineStr">
        <is>
          <t>當日損益</t>
        </is>
      </c>
      <c r="C264" s="75">
        <f>+C262+C263</f>
        <v/>
      </c>
    </row>
    <row r="265" ht="17.25" customHeight="1" s="67" thickTop="1">
      <c r="A265" s="70" t="n"/>
      <c r="B265" s="74" t="inlineStr">
        <is>
          <t>當日損益 %</t>
        </is>
      </c>
      <c r="C265" s="36">
        <f>C264/ABS(C262)</f>
        <v/>
      </c>
    </row>
    <row r="266">
      <c r="A266" s="70" t="n"/>
      <c r="B266" s="43" t="n"/>
      <c r="C266" s="78">
        <f>+A264+A265+A266</f>
        <v/>
      </c>
    </row>
    <row r="267">
      <c r="A267" s="43" t="inlineStr">
        <is>
          <t>累積留倉   200股</t>
        </is>
      </c>
      <c r="B267" s="43" t="n"/>
      <c r="C267" s="43" t="n"/>
    </row>
    <row r="268">
      <c r="A268" s="43" t="inlineStr">
        <is>
          <t>2026.02.27 留倉</t>
        </is>
      </c>
      <c r="B268" s="43" t="inlineStr">
        <is>
          <t>買 100股</t>
        </is>
      </c>
      <c r="C268" s="74" t="n">
        <v>-68407</v>
      </c>
    </row>
    <row r="269">
      <c r="A269" s="43" t="inlineStr">
        <is>
          <t>2026.03.05 留倉</t>
        </is>
      </c>
      <c r="B269" s="43" t="inlineStr">
        <is>
          <t>買 100股</t>
        </is>
      </c>
      <c r="C269" s="73" t="n">
        <v>-68311.62</v>
      </c>
    </row>
    <row r="270">
      <c r="A270" s="5" t="n"/>
      <c r="B270" s="43" t="n"/>
      <c r="C270" s="43" t="n"/>
    </row>
    <row r="271">
      <c r="A271" s="5" t="n"/>
      <c r="B271" s="43" t="n"/>
      <c r="C271" s="43" t="n"/>
    </row>
    <row r="272">
      <c r="A272" s="5" t="n"/>
      <c r="B272" s="43" t="n"/>
      <c r="C272" s="43" t="n"/>
    </row>
    <row r="273" ht="30" customHeight="1" s="67">
      <c r="A273" s="70" t="inlineStr">
        <is>
          <t>2026.04.13</t>
        </is>
      </c>
      <c r="B273" s="71" t="n">
        <v>-39822.4</v>
      </c>
      <c r="C273" s="72" t="inlineStr">
        <is>
          <t>損益</t>
        </is>
      </c>
    </row>
    <row r="274">
      <c r="A274" s="2" t="n">
        <v>67930.58</v>
      </c>
      <c r="B274" s="71">
        <f>+B273+A274</f>
        <v/>
      </c>
      <c r="C274" s="73" t="n"/>
    </row>
    <row r="275">
      <c r="A275" s="2" t="n">
        <v>-61142.84</v>
      </c>
      <c r="B275" s="71">
        <f>+B274+A275</f>
        <v/>
      </c>
      <c r="C275" s="73" t="n"/>
    </row>
    <row r="276">
      <c r="A276" s="2" t="n">
        <v>-6793.65</v>
      </c>
      <c r="B276" s="71">
        <f>+B275+A276</f>
        <v/>
      </c>
      <c r="C276" s="73" t="n">
        <v>-5.91</v>
      </c>
    </row>
    <row r="277">
      <c r="A277" s="2" t="n">
        <v>67892.08</v>
      </c>
      <c r="B277" s="71">
        <f>+B276+A277</f>
        <v/>
      </c>
      <c r="C277" s="73" t="n"/>
    </row>
    <row r="278">
      <c r="A278" s="2" t="n">
        <v>-67872</v>
      </c>
      <c r="B278" s="71">
        <f>+B277+A278</f>
        <v/>
      </c>
      <c r="C278" s="73" t="n">
        <v>20.08</v>
      </c>
    </row>
    <row r="279">
      <c r="A279" s="2" t="n">
        <v>-67994.5</v>
      </c>
      <c r="B279" s="71">
        <f>+B278+A279</f>
        <v/>
      </c>
      <c r="C279" s="73" t="n"/>
    </row>
    <row r="280">
      <c r="A280" s="2" t="n">
        <v>67938.36</v>
      </c>
      <c r="B280" s="71">
        <f>+B279+A280</f>
        <v/>
      </c>
      <c r="C280" s="73" t="n">
        <v>-56.14</v>
      </c>
    </row>
    <row r="281">
      <c r="A281" s="2" t="n">
        <v>67940.58</v>
      </c>
      <c r="B281" s="71">
        <f>+B280+A281</f>
        <v/>
      </c>
      <c r="C281" s="73" t="n"/>
    </row>
    <row r="282">
      <c r="A282" s="2" t="n">
        <v>-67952.00999999999</v>
      </c>
      <c r="B282" s="71">
        <f>+B281+A282</f>
        <v/>
      </c>
      <c r="C282" s="73" t="n">
        <v>-11.43</v>
      </c>
    </row>
    <row r="283">
      <c r="A283" s="2" t="n">
        <v>-67960</v>
      </c>
      <c r="B283" s="71">
        <f>+B282+A283</f>
        <v/>
      </c>
      <c r="C283" s="73" t="n"/>
    </row>
    <row r="284">
      <c r="A284" s="2" t="n">
        <v>67961.08</v>
      </c>
      <c r="B284" s="71">
        <f>+B283+A284</f>
        <v/>
      </c>
      <c r="C284" s="73" t="n">
        <v>1.08</v>
      </c>
    </row>
    <row r="285">
      <c r="A285" s="2" t="n">
        <v>-68040.5</v>
      </c>
      <c r="B285" s="71">
        <f>+B284+A285</f>
        <v/>
      </c>
      <c r="C285" s="73" t="n"/>
    </row>
    <row r="286">
      <c r="A286" s="2" t="n">
        <v>68043.08</v>
      </c>
      <c r="B286" s="71">
        <f>+B285+A286</f>
        <v/>
      </c>
      <c r="C286" s="73" t="n">
        <v>2.58</v>
      </c>
    </row>
    <row r="287">
      <c r="A287" s="2" t="n">
        <v>67994.89</v>
      </c>
      <c r="B287" s="71">
        <f>+B286+A287</f>
        <v/>
      </c>
      <c r="C287" s="73" t="n"/>
    </row>
    <row r="288">
      <c r="A288" s="2" t="n">
        <v>-58501.89</v>
      </c>
      <c r="B288" s="71">
        <f>+B287+A288</f>
        <v/>
      </c>
      <c r="C288" s="73" t="n"/>
    </row>
    <row r="289">
      <c r="A289" s="2" t="n">
        <v>-9523.559999999999</v>
      </c>
      <c r="B289" s="71">
        <f>+B288+A289</f>
        <v/>
      </c>
      <c r="C289" s="73" t="n">
        <v>-30.56</v>
      </c>
    </row>
    <row r="290">
      <c r="A290" s="2" t="n">
        <v>-67996.5</v>
      </c>
      <c r="B290" s="71">
        <f>+B289+A290</f>
        <v/>
      </c>
      <c r="C290" s="73" t="n"/>
    </row>
    <row r="291">
      <c r="A291" s="2" t="n">
        <v>68008.08</v>
      </c>
      <c r="B291" s="71">
        <f>+B290+A291</f>
        <v/>
      </c>
      <c r="C291" s="73" t="n">
        <v>11.58</v>
      </c>
    </row>
    <row r="292">
      <c r="A292" s="2" t="n">
        <v>67961.08</v>
      </c>
      <c r="B292" s="71">
        <f>+B291+A292</f>
        <v/>
      </c>
      <c r="C292" s="73" t="n"/>
    </row>
    <row r="293">
      <c r="A293" s="2" t="n">
        <v>-67994</v>
      </c>
      <c r="B293" s="71">
        <f>+B292+A293</f>
        <v/>
      </c>
      <c r="C293" s="73" t="n">
        <v>-32.92</v>
      </c>
    </row>
    <row r="294">
      <c r="A294" s="2" t="n">
        <v>-9519.860000000001</v>
      </c>
      <c r="B294" s="71">
        <f>+B293+A294</f>
        <v/>
      </c>
      <c r="C294" s="73" t="n"/>
    </row>
    <row r="295">
      <c r="A295" s="2" t="n">
        <v>-27199.59</v>
      </c>
      <c r="B295" s="71">
        <f>+B294+A295</f>
        <v/>
      </c>
      <c r="C295" s="73" t="n"/>
    </row>
    <row r="296">
      <c r="A296" s="2" t="n">
        <v>-31279.54</v>
      </c>
      <c r="B296" s="71">
        <f>+B295+A296</f>
        <v/>
      </c>
      <c r="C296" s="73" t="n"/>
    </row>
    <row r="297">
      <c r="A297" s="2" t="n">
        <v>679.6</v>
      </c>
      <c r="B297" s="71">
        <f>+B296+A297</f>
        <v/>
      </c>
      <c r="C297" s="73" t="n"/>
    </row>
    <row r="298">
      <c r="A298" s="2" t="n">
        <v>67279.8</v>
      </c>
      <c r="B298" s="71">
        <f>+B297+A298</f>
        <v/>
      </c>
      <c r="C298" s="73" t="n">
        <v>-39.59</v>
      </c>
    </row>
    <row r="299">
      <c r="A299" s="2" t="n">
        <v>67950.58</v>
      </c>
      <c r="B299" s="71">
        <f>+B298+A299</f>
        <v/>
      </c>
      <c r="C299" s="73" t="n"/>
    </row>
    <row r="300">
      <c r="A300" s="2" t="n">
        <v>-27181.6</v>
      </c>
      <c r="B300" s="71">
        <f>+B299+A300</f>
        <v/>
      </c>
      <c r="C300" s="73" t="n"/>
    </row>
    <row r="301">
      <c r="A301" s="2" t="n">
        <v>-40772.4</v>
      </c>
      <c r="B301" s="71">
        <f>+B300+A301</f>
        <v/>
      </c>
      <c r="C301" s="73" t="n">
        <v>-3.42</v>
      </c>
    </row>
    <row r="302">
      <c r="A302" s="2" t="n">
        <v>67951.59</v>
      </c>
      <c r="B302" s="71">
        <f>+B301+A302</f>
        <v/>
      </c>
      <c r="C302" s="73" t="n"/>
    </row>
    <row r="303">
      <c r="A303" s="2" t="n">
        <v>-67972.5</v>
      </c>
      <c r="B303" s="71">
        <f>+B302+A303</f>
        <v/>
      </c>
      <c r="C303" s="73" t="n">
        <v>-20.91</v>
      </c>
    </row>
    <row r="304">
      <c r="A304" s="2" t="n">
        <v>-67940.99000000001</v>
      </c>
      <c r="B304" s="71">
        <f>+B303+A304</f>
        <v/>
      </c>
      <c r="C304" s="73" t="n"/>
    </row>
    <row r="305">
      <c r="A305" s="2" t="n">
        <v>40770.36</v>
      </c>
      <c r="B305" s="71">
        <f>+B304+A305</f>
        <v/>
      </c>
      <c r="C305" s="73" t="n"/>
    </row>
    <row r="306">
      <c r="A306" s="2" t="n">
        <v>27180.23</v>
      </c>
      <c r="B306" s="71">
        <f>+B305+A306</f>
        <v/>
      </c>
      <c r="C306" s="73" t="n">
        <v>9.6</v>
      </c>
    </row>
    <row r="307">
      <c r="A307" s="2" t="n">
        <v>-67946.08</v>
      </c>
      <c r="B307" s="71">
        <f>+B306+A307</f>
        <v/>
      </c>
      <c r="C307" s="73" t="n"/>
    </row>
    <row r="308">
      <c r="A308" s="2" t="n">
        <v>67962.59</v>
      </c>
      <c r="B308" s="71">
        <f>+B307+A308</f>
        <v/>
      </c>
      <c r="C308" s="73" t="n">
        <v>16.51</v>
      </c>
    </row>
    <row r="309">
      <c r="A309" s="2" t="n">
        <v>-67963.99000000001</v>
      </c>
      <c r="B309" s="71">
        <f>+B308+A309</f>
        <v/>
      </c>
      <c r="C309" s="73" t="n"/>
    </row>
    <row r="310">
      <c r="A310" s="2" t="n">
        <v>67996.58</v>
      </c>
      <c r="B310" s="71">
        <f>+B309+A310</f>
        <v/>
      </c>
      <c r="C310" s="73" t="n">
        <v>32.59</v>
      </c>
    </row>
    <row r="311">
      <c r="A311" s="2" t="n">
        <v>-67960.96000000001</v>
      </c>
      <c r="B311" s="71">
        <f>+B310+A311</f>
        <v/>
      </c>
      <c r="C311" s="73" t="n"/>
    </row>
    <row r="312">
      <c r="A312" s="2" t="n">
        <v>67937.08</v>
      </c>
      <c r="B312" s="71">
        <f>+B311+A312</f>
        <v/>
      </c>
      <c r="C312" s="73" t="n">
        <v>-23.88</v>
      </c>
    </row>
    <row r="313">
      <c r="A313" s="2" t="n">
        <v>-67908.99000000001</v>
      </c>
      <c r="B313" s="71">
        <f>+B312+A313</f>
        <v/>
      </c>
      <c r="C313" s="73" t="n"/>
    </row>
    <row r="314">
      <c r="A314" s="2" t="n">
        <v>67921.08</v>
      </c>
      <c r="B314" s="71">
        <f>+B313+A314</f>
        <v/>
      </c>
      <c r="C314" s="73" t="n">
        <v>12.09</v>
      </c>
    </row>
    <row r="315">
      <c r="A315" s="2" t="n">
        <v>-67921</v>
      </c>
      <c r="B315" s="71">
        <f>+B314+A315</f>
        <v/>
      </c>
      <c r="C315" s="73" t="n"/>
    </row>
    <row r="316">
      <c r="A316" s="2" t="n">
        <v>67958.08</v>
      </c>
      <c r="B316" s="71">
        <f>+B315+A316</f>
        <v/>
      </c>
      <c r="C316" s="73" t="n">
        <v>37.08</v>
      </c>
    </row>
    <row r="317">
      <c r="A317" s="2" t="n">
        <v>-67987</v>
      </c>
      <c r="B317" s="71">
        <f>+B316+A317</f>
        <v/>
      </c>
      <c r="C317" s="73" t="n"/>
    </row>
    <row r="318">
      <c r="A318" s="2" t="n">
        <v>67988.97</v>
      </c>
      <c r="B318" s="71">
        <f>+B317+A318</f>
        <v/>
      </c>
      <c r="C318" s="73" t="n">
        <v>1.97</v>
      </c>
    </row>
    <row r="319">
      <c r="A319" s="2" t="n">
        <v>-68231.5</v>
      </c>
      <c r="B319" s="71">
        <f>+B318+A319</f>
        <v/>
      </c>
      <c r="C319" s="73" t="n"/>
    </row>
    <row r="320">
      <c r="A320" s="2" t="n">
        <v>27293.03</v>
      </c>
      <c r="B320" s="71">
        <f>+B319+A320</f>
        <v/>
      </c>
      <c r="C320" s="73" t="n"/>
    </row>
    <row r="321">
      <c r="A321" s="2" t="n">
        <v>40938.95</v>
      </c>
      <c r="B321" s="71">
        <f>+B320+A321</f>
        <v/>
      </c>
      <c r="C321" s="73" t="n">
        <v>0.48</v>
      </c>
    </row>
    <row r="322">
      <c r="A322" s="2" t="n">
        <v>-68241</v>
      </c>
      <c r="B322" s="71">
        <f>+B321+A322</f>
        <v/>
      </c>
      <c r="C322" s="73" t="n"/>
    </row>
    <row r="323">
      <c r="A323" s="2" t="n">
        <v>68237.47</v>
      </c>
      <c r="B323" s="71">
        <f>+B322+A323</f>
        <v/>
      </c>
      <c r="C323" s="73" t="n">
        <v>-3.53</v>
      </c>
    </row>
    <row r="324" ht="17.25" customHeight="1" s="67" thickBot="1">
      <c r="A324" s="43" t="n"/>
      <c r="B324" s="74" t="inlineStr">
        <is>
          <t xml:space="preserve">合計 </t>
        </is>
      </c>
      <c r="C324" s="75">
        <f>SUM(C274:C323)</f>
        <v/>
      </c>
    </row>
    <row r="325" ht="17.25" customHeight="1" s="67" thickTop="1">
      <c r="A325" s="43" t="n"/>
      <c r="B325" s="74" t="inlineStr">
        <is>
          <t>核驗</t>
        </is>
      </c>
      <c r="C325" s="76">
        <f>+B323-B273</f>
        <v/>
      </c>
    </row>
    <row r="326">
      <c r="A326" s="43" t="n"/>
      <c r="B326" s="71" t="n"/>
      <c r="C326" s="43" t="n"/>
    </row>
    <row r="327">
      <c r="A327" s="43" t="n"/>
      <c r="B327" s="71" t="n"/>
      <c r="C327" s="43" t="n"/>
    </row>
    <row r="328">
      <c r="A328" s="43" t="inlineStr">
        <is>
          <t>2026.04.13當沖</t>
        </is>
      </c>
      <c r="B328" s="74" t="inlineStr">
        <is>
          <t>買</t>
        </is>
      </c>
      <c r="C328" s="74">
        <f>SUMIF(A274:A323,"&lt;0")</f>
        <v/>
      </c>
    </row>
    <row r="329">
      <c r="A329" s="43">
        <f>"SPY " &amp; COUNT(C274:C323) * 100 &amp; "股"</f>
        <v/>
      </c>
      <c r="B329" s="74" t="inlineStr">
        <is>
          <t>賣</t>
        </is>
      </c>
      <c r="C329" s="74">
        <f>SUMIF(A274:A323,"&gt;0")</f>
        <v/>
      </c>
    </row>
    <row r="330" ht="17.25" customHeight="1" s="67" thickBot="1">
      <c r="A330" s="70" t="n"/>
      <c r="B330" s="74" t="inlineStr">
        <is>
          <t>當日損益</t>
        </is>
      </c>
      <c r="C330" s="75">
        <f>+C328+C329</f>
        <v/>
      </c>
    </row>
    <row r="331" ht="17.25" customHeight="1" s="67" thickTop="1">
      <c r="A331" s="70" t="n"/>
      <c r="B331" s="74" t="inlineStr">
        <is>
          <t>當日損益 %</t>
        </is>
      </c>
      <c r="C331" s="36">
        <f>C330/ABS(C328)</f>
        <v/>
      </c>
    </row>
    <row r="332">
      <c r="A332" s="70" t="n"/>
      <c r="B332" s="43" t="n"/>
      <c r="C332" s="78">
        <f>+A330+A331+A332</f>
        <v/>
      </c>
    </row>
    <row r="333">
      <c r="A333" s="43" t="inlineStr">
        <is>
          <t>累積留倉   200股</t>
        </is>
      </c>
      <c r="B333" s="43" t="n"/>
      <c r="C333" s="43" t="n"/>
    </row>
    <row r="334">
      <c r="A334" s="43" t="inlineStr">
        <is>
          <t>2026.02.27 留倉</t>
        </is>
      </c>
      <c r="B334" s="43" t="inlineStr">
        <is>
          <t>買 100股</t>
        </is>
      </c>
      <c r="C334" s="74" t="n">
        <v>-68407</v>
      </c>
    </row>
    <row r="335">
      <c r="A335" s="43" t="inlineStr">
        <is>
          <t>2026.03.05 留倉</t>
        </is>
      </c>
      <c r="B335" s="43" t="inlineStr">
        <is>
          <t>買 100股</t>
        </is>
      </c>
      <c r="C335" s="73" t="n">
        <v>-68311.62</v>
      </c>
    </row>
    <row r="336">
      <c r="A336" s="5" t="n"/>
      <c r="B336" s="43" t="n"/>
      <c r="C336" s="43" t="n"/>
    </row>
    <row r="337">
      <c r="A337" s="5" t="n"/>
      <c r="B337" s="43" t="n"/>
      <c r="C337" s="43" t="n"/>
    </row>
    <row r="338">
      <c r="A338" s="5" t="n"/>
      <c r="B338" s="43" t="n"/>
      <c r="C338" s="43" t="n"/>
    </row>
    <row r="339" ht="30.75" customHeight="1" s="67" thickBot="1">
      <c r="A339" s="70" t="inlineStr">
        <is>
          <t>2026.04.14</t>
        </is>
      </c>
      <c r="B339" s="71" t="n">
        <v>-39964.32</v>
      </c>
      <c r="C339" s="72" t="inlineStr">
        <is>
          <t>損益</t>
        </is>
      </c>
    </row>
    <row r="340" ht="17.25" customHeight="1" s="67" thickBot="1">
      <c r="A340" s="7" t="n">
        <v>-68970.67999999999</v>
      </c>
      <c r="B340" s="71">
        <f>+B339+A340</f>
        <v/>
      </c>
      <c r="C340" s="73" t="n"/>
    </row>
    <row r="341" ht="17.25" customHeight="1" s="67" thickBot="1">
      <c r="A341" s="7" t="n">
        <v>26888.97</v>
      </c>
      <c r="B341" s="71">
        <f>+B340+A341</f>
        <v/>
      </c>
      <c r="C341" s="73" t="n"/>
    </row>
    <row r="342" ht="17.25" customHeight="1" s="67" thickBot="1">
      <c r="A342" s="7" t="n">
        <v>42057.1</v>
      </c>
      <c r="B342" s="71">
        <f>+B341+A342</f>
        <v/>
      </c>
      <c r="C342" s="73" t="n">
        <v>-24.61</v>
      </c>
    </row>
    <row r="343" ht="17.25" customHeight="1" s="67" thickBot="1">
      <c r="A343" s="7" t="n">
        <v>-27584.6</v>
      </c>
      <c r="B343" s="71">
        <f>+B342+A343</f>
        <v/>
      </c>
      <c r="C343" s="73" t="n"/>
    </row>
    <row r="344" ht="17.25" customHeight="1" s="67" thickBot="1">
      <c r="A344" s="7" t="n">
        <v>-41377.19</v>
      </c>
      <c r="B344" s="71">
        <f>+B343+A344</f>
        <v/>
      </c>
      <c r="C344" s="73" t="n"/>
    </row>
    <row r="345" ht="17.25" customHeight="1" s="67" thickBot="1">
      <c r="A345" s="7" t="n">
        <v>68999.06</v>
      </c>
      <c r="B345" s="71">
        <f>+B344+A345</f>
        <v/>
      </c>
      <c r="C345" s="73" t="n">
        <v>37.27</v>
      </c>
    </row>
    <row r="346" ht="17.25" customHeight="1" s="67" thickBot="1">
      <c r="A346" s="7" t="n">
        <v>-69074</v>
      </c>
      <c r="B346" s="71">
        <f>+B345+A346</f>
        <v/>
      </c>
      <c r="C346" s="73" t="n"/>
    </row>
    <row r="347" ht="17.25" customHeight="1" s="67" thickBot="1">
      <c r="A347" s="9" t="n">
        <v>690.98</v>
      </c>
      <c r="B347" s="71">
        <f>+B346+A347</f>
        <v/>
      </c>
      <c r="C347" s="73" t="n"/>
    </row>
    <row r="348" ht="17.25" customHeight="1" s="67" thickBot="1">
      <c r="A348" s="7" t="n">
        <v>68406.5</v>
      </c>
      <c r="B348" s="71">
        <f>+B347+A348</f>
        <v/>
      </c>
      <c r="C348" s="73" t="n">
        <v>23.48</v>
      </c>
    </row>
    <row r="349" ht="17.25" customHeight="1" s="67" thickBot="1">
      <c r="A349" s="7" t="n">
        <v>-69128</v>
      </c>
      <c r="B349" s="71">
        <f>+B348+A349</f>
        <v/>
      </c>
      <c r="C349" s="73" t="n"/>
    </row>
    <row r="350" ht="17.25" customHeight="1" s="67" thickBot="1">
      <c r="A350" s="7" t="n">
        <v>69130.06</v>
      </c>
      <c r="B350" s="71">
        <f>+B349+A350</f>
        <v/>
      </c>
      <c r="C350" s="73" t="n">
        <v>2.06</v>
      </c>
    </row>
    <row r="351" ht="17.25" customHeight="1" s="67" thickBot="1">
      <c r="A351" s="7" t="n">
        <v>-69144.5</v>
      </c>
      <c r="B351" s="71">
        <f>+B350+A351</f>
        <v/>
      </c>
      <c r="C351" s="73" t="n"/>
    </row>
    <row r="352" ht="17.25" customHeight="1" s="67" thickBot="1">
      <c r="A352" s="7" t="n">
        <v>69153.57000000001</v>
      </c>
      <c r="B352" s="71">
        <f>+B351+A352</f>
        <v/>
      </c>
      <c r="C352" s="73" t="n">
        <v>9.07</v>
      </c>
    </row>
    <row r="353" ht="17.25" customHeight="1" s="67" thickBot="1">
      <c r="A353" s="7" t="n">
        <v>-69195</v>
      </c>
      <c r="B353" s="71">
        <f>+B352+A353</f>
        <v/>
      </c>
      <c r="C353" s="73" t="n"/>
    </row>
    <row r="354" ht="17.25" customHeight="1" s="67" thickBot="1">
      <c r="A354" s="7" t="n">
        <v>69185.55</v>
      </c>
      <c r="B354" s="71">
        <f>+B353+A354</f>
        <v/>
      </c>
      <c r="C354" s="73" t="n">
        <v>-9.449999999999999</v>
      </c>
    </row>
    <row r="355" ht="17.25" customHeight="1" s="67" thickBot="1">
      <c r="A355" s="7" t="n">
        <v>-69252</v>
      </c>
      <c r="B355" s="71">
        <f>+B354+A355</f>
        <v/>
      </c>
      <c r="C355" s="73" t="n"/>
    </row>
    <row r="356" ht="17.25" customHeight="1" s="67" thickBot="1">
      <c r="A356" s="7" t="n">
        <v>69252.55</v>
      </c>
      <c r="B356" s="71">
        <f>+B355+A356</f>
        <v/>
      </c>
      <c r="C356" s="73" t="n">
        <v>0.55</v>
      </c>
    </row>
    <row r="357" ht="17.25" customHeight="1" s="67" thickBot="1">
      <c r="A357" s="10" t="n">
        <v>69347.05</v>
      </c>
      <c r="B357" s="79">
        <f>+B356+A357</f>
        <v/>
      </c>
      <c r="C357" s="73" t="n"/>
    </row>
    <row r="358" ht="17.25" customHeight="1" s="67" thickBot="1">
      <c r="A358" s="10" t="n">
        <v>69357.05</v>
      </c>
      <c r="B358" s="79">
        <f>+B357+A358</f>
        <v/>
      </c>
      <c r="C358" s="73" t="n"/>
    </row>
    <row r="359">
      <c r="A359" s="43" t="n"/>
      <c r="B359" s="74" t="inlineStr">
        <is>
          <t xml:space="preserve">合計 </t>
        </is>
      </c>
      <c r="C359" s="73">
        <f>SUM(C340:C356)</f>
        <v/>
      </c>
    </row>
    <row r="360">
      <c r="A360" s="43" t="n"/>
      <c r="B360" s="74" t="inlineStr">
        <is>
          <t>核驗</t>
        </is>
      </c>
      <c r="C360" s="73">
        <f>+B356-B339</f>
        <v/>
      </c>
    </row>
    <row r="361">
      <c r="A361" s="43" t="n"/>
      <c r="B361" s="71" t="n"/>
      <c r="C361" s="43" t="n"/>
    </row>
    <row r="362">
      <c r="A362" s="43" t="n"/>
      <c r="B362" s="71" t="n"/>
      <c r="C362" s="43" t="n"/>
    </row>
    <row r="363">
      <c r="A363" s="43" t="inlineStr">
        <is>
          <t>2026.04.14當沖</t>
        </is>
      </c>
      <c r="B363" s="74" t="inlineStr">
        <is>
          <t>買</t>
        </is>
      </c>
      <c r="C363" s="74">
        <f>SUMIF(A340:A356,"&lt;0")</f>
        <v/>
      </c>
    </row>
    <row r="364">
      <c r="A364" s="43">
        <f>"SPY " &amp; COUNT(C340:C358) * 100 &amp; "股"</f>
        <v/>
      </c>
      <c r="B364" s="74" t="inlineStr">
        <is>
          <t>賣</t>
        </is>
      </c>
      <c r="C364" s="74">
        <f>SUMIF(A340:A356,"&gt;0")</f>
        <v/>
      </c>
    </row>
    <row r="365" ht="17.25" customHeight="1" s="67" thickBot="1">
      <c r="A365" s="70" t="n"/>
      <c r="B365" s="74" t="inlineStr">
        <is>
          <t>當日損益</t>
        </is>
      </c>
      <c r="C365" s="75">
        <f>+C363+C364</f>
        <v/>
      </c>
    </row>
    <row r="366" ht="17.25" customHeight="1" s="67" thickTop="1">
      <c r="A366" s="70" t="n"/>
      <c r="B366" s="74" t="inlineStr">
        <is>
          <t>當日損益 %</t>
        </is>
      </c>
      <c r="C366" s="36">
        <f>C365/ABS(C363)</f>
        <v/>
      </c>
    </row>
    <row r="367">
      <c r="A367" s="70" t="n"/>
      <c r="B367" s="43" t="n"/>
      <c r="C367" s="78">
        <f>+A365+A366+A367</f>
        <v/>
      </c>
    </row>
    <row r="368">
      <c r="A368" s="43" t="n"/>
      <c r="B368" s="43" t="n"/>
      <c r="C368" s="43" t="n"/>
    </row>
    <row r="369">
      <c r="A369" s="43" t="inlineStr">
        <is>
          <t>2026.02.27 留倉</t>
        </is>
      </c>
      <c r="B369" s="43" t="inlineStr">
        <is>
          <t>買入100股</t>
        </is>
      </c>
      <c r="C369" s="74" t="n">
        <v>-68407</v>
      </c>
    </row>
    <row r="370">
      <c r="A370" s="43" t="inlineStr">
        <is>
          <t>2026.03.20 配息</t>
        </is>
      </c>
      <c r="B370" s="11" t="inlineStr">
        <is>
          <t>@1.796999*0.7</t>
        </is>
      </c>
      <c r="C370" s="73" t="n">
        <v>125.79</v>
      </c>
    </row>
    <row r="371">
      <c r="A371" s="43" t="inlineStr">
        <is>
          <t>2026.04.14 平倉</t>
        </is>
      </c>
      <c r="B371" s="43" t="inlineStr">
        <is>
          <t>出售100股</t>
        </is>
      </c>
      <c r="C371" s="73">
        <f>A358</f>
        <v/>
      </c>
    </row>
    <row r="372" ht="17.25" customHeight="1" s="67" thickBot="1">
      <c r="A372" s="43" t="n"/>
      <c r="B372" s="74" t="inlineStr">
        <is>
          <t>平倉損益</t>
        </is>
      </c>
      <c r="C372" s="75">
        <f>+C369+C371+C370</f>
        <v/>
      </c>
    </row>
    <row r="373" ht="17.25" customHeight="1" s="67" thickTop="1">
      <c r="A373" s="43" t="n"/>
      <c r="B373" s="74" t="inlineStr">
        <is>
          <t>平倉損益 %</t>
        </is>
      </c>
      <c r="C373" s="36">
        <f>C372/ABS(C369)</f>
        <v/>
      </c>
    </row>
    <row r="374">
      <c r="A374" s="43" t="n"/>
      <c r="B374" s="43" t="n"/>
      <c r="C374" s="73" t="n"/>
    </row>
    <row r="375">
      <c r="A375" s="43" t="inlineStr">
        <is>
          <t>2026.03.05 留倉</t>
        </is>
      </c>
      <c r="B375" s="43" t="inlineStr">
        <is>
          <t>買入100股</t>
        </is>
      </c>
      <c r="C375" s="74" t="n">
        <v>-68311.62</v>
      </c>
    </row>
    <row r="376">
      <c r="A376" s="43" t="inlineStr">
        <is>
          <t>2026.03.20 配息</t>
        </is>
      </c>
      <c r="B376" s="11" t="inlineStr">
        <is>
          <t>@1.796999*0.7</t>
        </is>
      </c>
      <c r="C376" s="73" t="n">
        <v>125.79</v>
      </c>
    </row>
    <row r="377">
      <c r="A377" s="43" t="inlineStr">
        <is>
          <t>2026.04.14 平倉</t>
        </is>
      </c>
      <c r="B377" s="43" t="inlineStr">
        <is>
          <t>出售100股</t>
        </is>
      </c>
      <c r="C377" s="73">
        <f>A357</f>
        <v/>
      </c>
    </row>
    <row r="378" ht="17.25" customHeight="1" s="67" thickBot="1">
      <c r="A378" s="43" t="n"/>
      <c r="B378" s="74" t="inlineStr">
        <is>
          <t>平倉損益</t>
        </is>
      </c>
      <c r="C378" s="75">
        <f>+C375+C377+C376</f>
        <v/>
      </c>
    </row>
    <row r="379" ht="17.25" customHeight="1" s="67" thickTop="1">
      <c r="A379" s="43" t="n"/>
      <c r="B379" s="74" t="inlineStr">
        <is>
          <t>平倉損益 %</t>
        </is>
      </c>
      <c r="C379" s="36">
        <f>C378/ABS(C375)</f>
        <v/>
      </c>
    </row>
    <row r="380">
      <c r="A380" s="5" t="n"/>
      <c r="B380" s="43" t="n"/>
      <c r="C380" s="43" t="n"/>
    </row>
    <row r="381">
      <c r="A381" s="43" t="inlineStr">
        <is>
          <t>累積留倉   0</t>
        </is>
      </c>
      <c r="B381" s="43" t="n"/>
      <c r="C381" s="43" t="n"/>
    </row>
    <row r="382">
      <c r="A382" s="5" t="n"/>
      <c r="B382" s="43" t="n"/>
      <c r="C382" s="43" t="n"/>
    </row>
    <row r="383">
      <c r="A383" s="5" t="n"/>
      <c r="B383" s="43" t="n"/>
      <c r="C383" s="43" t="n"/>
    </row>
    <row r="384" ht="30" customHeight="1" s="67">
      <c r="A384" s="70" t="inlineStr">
        <is>
          <t>2026.04.15</t>
        </is>
      </c>
      <c r="B384" s="71" t="n">
        <v>-40046.97</v>
      </c>
      <c r="C384" s="72" t="inlineStr">
        <is>
          <t>損益</t>
        </is>
      </c>
    </row>
    <row r="385">
      <c r="A385" s="2" t="n">
        <v>-69514</v>
      </c>
      <c r="B385" s="71">
        <f>+B384+A385</f>
        <v/>
      </c>
      <c r="C385" s="73" t="n"/>
    </row>
    <row r="386">
      <c r="A386" s="2" t="n">
        <v>69555.04000000001</v>
      </c>
      <c r="B386" s="71">
        <f>+B385+A386</f>
        <v/>
      </c>
      <c r="C386" s="73" t="n">
        <v>41.04</v>
      </c>
    </row>
    <row r="387">
      <c r="A387" s="2" t="n">
        <v>-69540.5</v>
      </c>
      <c r="B387" s="71">
        <f>+B386+A387</f>
        <v/>
      </c>
      <c r="C387" s="73" t="n"/>
    </row>
    <row r="388">
      <c r="A388" s="2" t="n">
        <v>69538.05</v>
      </c>
      <c r="B388" s="71">
        <f>+B387+A388</f>
        <v/>
      </c>
      <c r="C388" s="73" t="n">
        <v>-2.45</v>
      </c>
    </row>
    <row r="389">
      <c r="A389" s="2" t="n">
        <v>-69687.5</v>
      </c>
      <c r="B389" s="71">
        <f>+B388+A389</f>
        <v/>
      </c>
      <c r="C389" s="73" t="n"/>
    </row>
    <row r="390">
      <c r="A390" s="2" t="n">
        <v>69684.54999999999</v>
      </c>
      <c r="B390" s="71">
        <f>+B389+A390</f>
        <v/>
      </c>
      <c r="C390" s="73" t="n">
        <v>-2.95</v>
      </c>
    </row>
    <row r="391">
      <c r="A391" s="2" t="n">
        <v>-69691.99000000001</v>
      </c>
      <c r="B391" s="71">
        <f>+B390+A391</f>
        <v/>
      </c>
      <c r="C391" s="73" t="n"/>
    </row>
    <row r="392">
      <c r="A392" s="2" t="n">
        <v>27876.74</v>
      </c>
      <c r="B392" s="71">
        <f>+B391+A392</f>
        <v/>
      </c>
      <c r="C392" s="73" t="n"/>
    </row>
    <row r="393">
      <c r="A393" s="2" t="n">
        <v>41815.10000000001</v>
      </c>
      <c r="B393" s="71">
        <f>+B392+A393</f>
        <v/>
      </c>
      <c r="C393" s="73" t="n">
        <v>-0.15</v>
      </c>
    </row>
    <row r="394">
      <c r="A394" s="2" t="n">
        <v>-69730</v>
      </c>
      <c r="B394" s="71">
        <f>+B393+A394</f>
        <v/>
      </c>
      <c r="C394" s="73" t="n"/>
    </row>
    <row r="395">
      <c r="A395" s="2" t="n">
        <v>69734.53999999999</v>
      </c>
      <c r="B395" s="71">
        <f>+B394+A395</f>
        <v/>
      </c>
      <c r="C395" s="73" t="n">
        <v>4.54</v>
      </c>
    </row>
    <row r="396">
      <c r="A396" s="2" t="n">
        <v>-69715.99000000001</v>
      </c>
      <c r="B396" s="71">
        <f>+B395+A396</f>
        <v/>
      </c>
      <c r="C396" s="73" t="n"/>
    </row>
    <row r="397">
      <c r="A397" s="2" t="n">
        <v>27895.62</v>
      </c>
      <c r="B397" s="71">
        <f>+B396+A397</f>
        <v/>
      </c>
      <c r="C397" s="73" t="n"/>
    </row>
    <row r="398">
      <c r="A398" s="2" t="n">
        <v>27895.61</v>
      </c>
      <c r="B398" s="71">
        <f>+B397+A398</f>
        <v/>
      </c>
      <c r="C398" s="73" t="n"/>
    </row>
    <row r="399">
      <c r="A399" s="2" t="n">
        <v>13947.71</v>
      </c>
      <c r="B399" s="71">
        <f>+B398+A399</f>
        <v/>
      </c>
      <c r="C399" s="73" t="n">
        <v>22.95</v>
      </c>
    </row>
    <row r="400">
      <c r="A400" s="2" t="n">
        <v>-69665.36</v>
      </c>
      <c r="B400" s="71">
        <f>+B399+A400</f>
        <v/>
      </c>
      <c r="C400" s="73" t="n"/>
    </row>
    <row r="401">
      <c r="A401" s="2" t="n">
        <v>69715.03999999999</v>
      </c>
      <c r="B401" s="71">
        <f>+B400+A401</f>
        <v/>
      </c>
      <c r="C401" s="73" t="n">
        <v>49.68</v>
      </c>
    </row>
    <row r="402">
      <c r="A402" s="2" t="n"/>
      <c r="B402" s="74" t="inlineStr">
        <is>
          <t xml:space="preserve">合計 </t>
        </is>
      </c>
      <c r="C402" s="73">
        <f>SUM(C385:C401)</f>
        <v/>
      </c>
    </row>
    <row r="403">
      <c r="A403" s="2" t="n"/>
      <c r="B403" s="74" t="inlineStr">
        <is>
          <t>核驗</t>
        </is>
      </c>
      <c r="C403" s="73">
        <f>+B401-B384</f>
        <v/>
      </c>
    </row>
    <row r="404">
      <c r="A404" s="5" t="n"/>
      <c r="B404" s="71" t="n"/>
      <c r="C404" s="43" t="n"/>
    </row>
    <row r="405">
      <c r="A405" s="43" t="inlineStr">
        <is>
          <t>2026.04.15當沖</t>
        </is>
      </c>
      <c r="B405" s="74" t="inlineStr">
        <is>
          <t>買</t>
        </is>
      </c>
      <c r="C405" s="74">
        <f>SUMIF(A385:A401,"&lt;0")</f>
        <v/>
      </c>
    </row>
    <row r="406">
      <c r="A406" s="43">
        <f>"SPY " &amp; COUNT(C385:C401) * 100 &amp; "股"</f>
        <v/>
      </c>
      <c r="B406" s="74" t="inlineStr">
        <is>
          <t>賣</t>
        </is>
      </c>
      <c r="C406" s="74">
        <f>SUMIF(A385:A401,"&gt;0")</f>
        <v/>
      </c>
    </row>
    <row r="407" ht="17.25" customHeight="1" s="67" thickBot="1">
      <c r="A407" s="70" t="n"/>
      <c r="B407" s="74" t="inlineStr">
        <is>
          <t>當日損益</t>
        </is>
      </c>
      <c r="C407" s="75">
        <f>+C405+C406</f>
        <v/>
      </c>
    </row>
    <row r="408" ht="17.25" customHeight="1" s="67" thickTop="1">
      <c r="A408" s="70" t="n"/>
      <c r="B408" s="74" t="inlineStr">
        <is>
          <t>當日損益 %</t>
        </is>
      </c>
      <c r="C408" s="36">
        <f>C407/ABS(C405)</f>
        <v/>
      </c>
    </row>
    <row r="409">
      <c r="A409" s="5" t="n"/>
      <c r="B409" s="71" t="n"/>
      <c r="C409" s="43" t="n"/>
    </row>
    <row r="410">
      <c r="A410" s="43" t="n"/>
      <c r="B410" s="71" t="n"/>
      <c r="C410" s="43" t="n"/>
    </row>
    <row r="411">
      <c r="A411" s="5" t="n"/>
      <c r="B411" s="71" t="n"/>
      <c r="C411" s="43" t="n"/>
    </row>
    <row r="412">
      <c r="A412" s="5" t="n"/>
      <c r="B412" s="71" t="n"/>
      <c r="C412" s="43" t="n"/>
    </row>
    <row r="413" ht="30" customHeight="1" s="67">
      <c r="A413" s="70" t="inlineStr">
        <is>
          <t>2026.04.16</t>
        </is>
      </c>
      <c r="B413" s="71" t="n">
        <v>98695.5</v>
      </c>
      <c r="C413" s="72" t="inlineStr">
        <is>
          <t>損益</t>
        </is>
      </c>
    </row>
    <row r="414">
      <c r="A414" s="2" t="n">
        <v>70092.53999999999</v>
      </c>
      <c r="B414" s="71">
        <f>+B413+A414</f>
        <v/>
      </c>
      <c r="C414" s="73" t="n"/>
    </row>
    <row r="415">
      <c r="A415" s="2" t="n">
        <v>-70089</v>
      </c>
      <c r="B415" s="71">
        <f>+B414+A415</f>
        <v/>
      </c>
      <c r="C415" s="73" t="n">
        <v>3.54</v>
      </c>
    </row>
    <row r="416">
      <c r="A416" s="2" t="n">
        <v>70020.53999999999</v>
      </c>
      <c r="B416" s="71">
        <f>+B415+A416</f>
        <v/>
      </c>
      <c r="C416" s="73" t="n"/>
    </row>
    <row r="417">
      <c r="A417" s="2" t="n">
        <v>-70053.99000000001</v>
      </c>
      <c r="B417" s="71">
        <f>+B416+A417</f>
        <v/>
      </c>
      <c r="C417" s="73" t="n">
        <v>-33.45</v>
      </c>
    </row>
    <row r="418">
      <c r="A418" s="2" t="n">
        <v>70040.26999999999</v>
      </c>
      <c r="B418" s="71">
        <f>+B417+A418</f>
        <v/>
      </c>
      <c r="C418" s="73" t="n"/>
    </row>
    <row r="419">
      <c r="A419" s="2" t="n">
        <v>-70003.5</v>
      </c>
      <c r="B419" s="71">
        <f>+B418+A419</f>
        <v/>
      </c>
      <c r="C419" s="73" t="n">
        <v>36.77</v>
      </c>
    </row>
    <row r="420">
      <c r="A420" s="2" t="n">
        <v>-69981.35000000001</v>
      </c>
      <c r="B420" s="71">
        <f>+B419+A420</f>
        <v/>
      </c>
      <c r="C420" s="73" t="n"/>
    </row>
    <row r="421">
      <c r="A421" s="2" t="n">
        <v>69970.53999999999</v>
      </c>
      <c r="B421" s="71">
        <f>+B420+A421</f>
        <v/>
      </c>
      <c r="C421" s="73" t="n">
        <v>-10.81</v>
      </c>
    </row>
    <row r="422">
      <c r="A422" s="2" t="n">
        <v>-69981</v>
      </c>
      <c r="B422" s="71">
        <f>+B421+A422</f>
        <v/>
      </c>
      <c r="C422" s="73" t="n"/>
    </row>
    <row r="423">
      <c r="A423" s="2" t="n">
        <v>69976.04999999999</v>
      </c>
      <c r="B423" s="71">
        <f>+B422+A423</f>
        <v/>
      </c>
      <c r="C423" s="73" t="n">
        <v>-4.95</v>
      </c>
    </row>
    <row r="424">
      <c r="A424" s="2" t="n">
        <v>-69912.99000000001</v>
      </c>
      <c r="B424" s="71">
        <f>+B423+A424</f>
        <v/>
      </c>
      <c r="C424" s="73" t="n"/>
    </row>
    <row r="425">
      <c r="A425" s="2" t="n">
        <v>69902.12</v>
      </c>
      <c r="B425" s="71">
        <f>+B424+A425</f>
        <v/>
      </c>
      <c r="C425" s="73" t="n">
        <v>-10.87</v>
      </c>
    </row>
    <row r="426">
      <c r="A426" s="2" t="n">
        <v>-69928</v>
      </c>
      <c r="B426" s="71">
        <f>+B425+A426</f>
        <v/>
      </c>
      <c r="C426" s="73" t="n"/>
    </row>
    <row r="427">
      <c r="A427" s="2" t="n">
        <v>69907.53999999999</v>
      </c>
      <c r="B427" s="71">
        <f>+B426+A427</f>
        <v/>
      </c>
      <c r="C427" s="73" t="n">
        <v>-20.46</v>
      </c>
    </row>
    <row r="428">
      <c r="A428" s="2" t="n">
        <v>-69989</v>
      </c>
      <c r="B428" s="71">
        <f>+B427+A428</f>
        <v/>
      </c>
      <c r="C428" s="73" t="n"/>
    </row>
    <row r="429">
      <c r="A429" s="2" t="n">
        <v>69996.84999999999</v>
      </c>
      <c r="B429" s="71">
        <f>+B428+A429</f>
        <v/>
      </c>
      <c r="C429" s="73" t="n">
        <v>7.85</v>
      </c>
    </row>
    <row r="430">
      <c r="A430" s="2" t="n">
        <v>-70018.67</v>
      </c>
      <c r="B430" s="71">
        <f>+B429+A430</f>
        <v/>
      </c>
      <c r="C430" s="73" t="n"/>
    </row>
    <row r="431">
      <c r="A431" s="2" t="n">
        <v>70025.82999999999</v>
      </c>
      <c r="B431" s="71">
        <f>+B430+A431</f>
        <v/>
      </c>
      <c r="C431" s="73" t="n">
        <v>7.16</v>
      </c>
    </row>
    <row r="432">
      <c r="A432" s="2" t="n">
        <v>-70048.5</v>
      </c>
      <c r="B432" s="71">
        <f>+B431+A432</f>
        <v/>
      </c>
      <c r="C432" s="73" t="n"/>
    </row>
    <row r="433">
      <c r="A433" s="2" t="n">
        <v>56044.83</v>
      </c>
      <c r="B433" s="71">
        <f>+B432+A433</f>
        <v/>
      </c>
      <c r="C433" s="73" t="n"/>
    </row>
    <row r="434">
      <c r="A434" s="2" t="n">
        <v>14011.21</v>
      </c>
      <c r="B434" s="71">
        <f>+B433+A434</f>
        <v/>
      </c>
      <c r="C434" s="73" t="n">
        <v>7.54</v>
      </c>
    </row>
    <row r="435">
      <c r="A435" s="2" t="n">
        <v>-70064</v>
      </c>
      <c r="B435" s="71">
        <f>+B434+A435</f>
        <v/>
      </c>
      <c r="C435" s="73" t="n"/>
    </row>
    <row r="436">
      <c r="A436" s="2" t="n">
        <v>70062.95999999999</v>
      </c>
      <c r="B436" s="71">
        <f>+B435+A436</f>
        <v/>
      </c>
      <c r="C436" s="73" t="n">
        <v>-1.04</v>
      </c>
    </row>
    <row r="437">
      <c r="A437" s="2" t="n">
        <v>-70194</v>
      </c>
      <c r="B437" s="71">
        <f>+B436+A437</f>
        <v/>
      </c>
      <c r="C437" s="73" t="n"/>
    </row>
    <row r="438">
      <c r="A438" s="2" t="n">
        <v>70228.56</v>
      </c>
      <c r="B438" s="71">
        <f>+B437+A438</f>
        <v/>
      </c>
      <c r="C438" s="73" t="n">
        <v>34.56</v>
      </c>
    </row>
    <row r="439">
      <c r="A439" s="2" t="n">
        <v>-70095</v>
      </c>
      <c r="B439" s="71">
        <f>+B438+A439</f>
        <v/>
      </c>
      <c r="C439" s="73" t="n"/>
    </row>
    <row r="440">
      <c r="A440" s="2" t="n">
        <v>56076.42</v>
      </c>
      <c r="B440" s="71">
        <f>+B439+A440</f>
        <v/>
      </c>
      <c r="C440" s="73" t="n"/>
    </row>
    <row r="441">
      <c r="A441" s="2" t="n">
        <v>14019.12</v>
      </c>
      <c r="B441" s="71">
        <f>+B440+A441</f>
        <v/>
      </c>
      <c r="C441" s="73" t="n">
        <v>0.54</v>
      </c>
    </row>
    <row r="442">
      <c r="A442" s="2" t="n">
        <v>-70118.61</v>
      </c>
      <c r="B442" s="71">
        <f>+B441+A442</f>
        <v/>
      </c>
      <c r="C442" s="73" t="n"/>
    </row>
    <row r="443">
      <c r="A443" s="2" t="n">
        <v>70125.54999999999</v>
      </c>
      <c r="B443" s="71">
        <f>+B442+A443</f>
        <v/>
      </c>
      <c r="C443" s="73" t="n">
        <v>6.94</v>
      </c>
    </row>
    <row r="444">
      <c r="A444" s="2" t="n">
        <v>-70122</v>
      </c>
      <c r="B444" s="71">
        <f>+B443+A444</f>
        <v/>
      </c>
      <c r="C444" s="73" t="n"/>
    </row>
    <row r="445">
      <c r="A445" s="2" t="n">
        <v>28049.81</v>
      </c>
      <c r="B445" s="71">
        <f>+B444+A445</f>
        <v/>
      </c>
      <c r="C445" s="73" t="n"/>
    </row>
    <row r="446">
      <c r="A446" s="2" t="n">
        <v>42074.74</v>
      </c>
      <c r="B446" s="71">
        <f>+B445+A446</f>
        <v/>
      </c>
      <c r="C446" s="73" t="n">
        <v>2.55</v>
      </c>
    </row>
    <row r="447">
      <c r="A447" s="2" t="n"/>
      <c r="B447" s="74" t="inlineStr">
        <is>
          <t xml:space="preserve">合計 </t>
        </is>
      </c>
      <c r="C447" s="73">
        <f>SUM(C414:C446)</f>
        <v/>
      </c>
    </row>
    <row r="448">
      <c r="A448" s="2" t="n"/>
      <c r="B448" s="74" t="inlineStr">
        <is>
          <t>核驗</t>
        </is>
      </c>
      <c r="C448" s="73">
        <f>+B446-B413</f>
        <v/>
      </c>
    </row>
    <row r="449">
      <c r="A449" s="5" t="n"/>
      <c r="B449" s="71" t="n"/>
      <c r="C449" s="43" t="n"/>
    </row>
    <row r="450">
      <c r="A450" s="43" t="inlineStr">
        <is>
          <t>2026.04.16當沖</t>
        </is>
      </c>
      <c r="B450" s="74" t="inlineStr">
        <is>
          <t>買</t>
        </is>
      </c>
      <c r="C450" s="74">
        <f>SUMIF(A414:A446,"&lt;0")</f>
        <v/>
      </c>
    </row>
    <row r="451">
      <c r="A451" s="43">
        <f>"SPY " &amp; COUNT(C414:C446) * 100 &amp; "股"</f>
        <v/>
      </c>
      <c r="B451" s="74" t="inlineStr">
        <is>
          <t>賣</t>
        </is>
      </c>
      <c r="C451" s="74">
        <f>SUMIF(A414:A446,"&gt;0")</f>
        <v/>
      </c>
    </row>
    <row r="452" ht="17.25" customHeight="1" s="67" thickBot="1">
      <c r="A452" s="70" t="n"/>
      <c r="B452" s="74" t="inlineStr">
        <is>
          <t>當日損益</t>
        </is>
      </c>
      <c r="C452" s="75">
        <f>+C450+C451</f>
        <v/>
      </c>
    </row>
    <row r="453" ht="17.25" customHeight="1" s="67" thickTop="1">
      <c r="A453" s="70" t="n"/>
      <c r="B453" s="74" t="inlineStr">
        <is>
          <t>當日損益 %</t>
        </is>
      </c>
      <c r="C453" s="36">
        <f>C452/ABS(C450)</f>
        <v/>
      </c>
    </row>
    <row r="454">
      <c r="A454" s="5" t="n"/>
      <c r="B454" s="43" t="n"/>
      <c r="C454" s="43" t="n"/>
    </row>
    <row r="455">
      <c r="A455" s="5" t="n"/>
      <c r="B455" s="43" t="n"/>
      <c r="C455" s="43" t="n"/>
    </row>
    <row r="456">
      <c r="A456" s="5" t="n"/>
      <c r="B456" s="43" t="n"/>
      <c r="C456" s="43" t="n"/>
    </row>
    <row r="457">
      <c r="A457" s="5" t="n"/>
      <c r="B457" s="43" t="n"/>
      <c r="C457" s="43" t="n"/>
    </row>
    <row r="458" ht="30" customHeight="1" s="67">
      <c r="A458" s="70" t="inlineStr">
        <is>
          <t>2026.04.17</t>
        </is>
      </c>
      <c r="B458" s="71" t="n">
        <v>98808.16</v>
      </c>
      <c r="C458" s="72" t="inlineStr">
        <is>
          <t>損益</t>
        </is>
      </c>
    </row>
    <row r="459">
      <c r="A459" s="2" t="n">
        <v>-70747.5</v>
      </c>
      <c r="B459" s="71">
        <f>+B458+A459</f>
        <v/>
      </c>
      <c r="C459" s="73" t="n"/>
    </row>
    <row r="460">
      <c r="A460" s="2" t="n">
        <v>70771.8</v>
      </c>
      <c r="B460" s="71">
        <f>+B459+A460</f>
        <v/>
      </c>
      <c r="C460" s="73" t="n">
        <v>24.3</v>
      </c>
    </row>
    <row r="461">
      <c r="A461" s="2" t="n">
        <v>-20056.99</v>
      </c>
      <c r="B461" s="71">
        <f>+B460+A461</f>
        <v/>
      </c>
      <c r="C461" s="73" t="n"/>
    </row>
    <row r="462">
      <c r="A462" s="2" t="n">
        <v>20060.07</v>
      </c>
      <c r="B462" s="71">
        <f>+B461+A462</f>
        <v/>
      </c>
      <c r="C462" s="73" t="n">
        <v>3.08</v>
      </c>
    </row>
    <row r="463">
      <c r="A463" s="2" t="n">
        <v>-71086</v>
      </c>
      <c r="B463" s="71">
        <f>+B462+A463</f>
        <v/>
      </c>
      <c r="C463" s="73" t="n"/>
    </row>
    <row r="464">
      <c r="A464" s="2" t="n">
        <v>71108.02</v>
      </c>
      <c r="B464" s="71">
        <f>+B463+A464</f>
        <v/>
      </c>
      <c r="C464" s="73" t="n">
        <v>22.02</v>
      </c>
    </row>
    <row r="465">
      <c r="A465" s="1" t="n">
        <v>-71111.5</v>
      </c>
      <c r="B465" s="71">
        <f>+B464+A465</f>
        <v/>
      </c>
      <c r="C465" s="73" t="n"/>
    </row>
    <row r="466">
      <c r="A466" s="2" t="n">
        <v>-71059</v>
      </c>
      <c r="B466" s="71">
        <f>+B465+A466</f>
        <v/>
      </c>
      <c r="C466" s="73" t="n"/>
    </row>
    <row r="467">
      <c r="A467" s="2" t="n">
        <v>35536.51</v>
      </c>
      <c r="B467" s="71">
        <f>+B466+A467</f>
        <v/>
      </c>
      <c r="C467" s="73" t="n"/>
    </row>
    <row r="468">
      <c r="A468" s="2" t="n">
        <v>35536.51</v>
      </c>
      <c r="B468" s="71">
        <f>+B467+A468</f>
        <v/>
      </c>
      <c r="C468" s="73" t="n">
        <v>14.02</v>
      </c>
    </row>
    <row r="469">
      <c r="A469" s="1" t="n">
        <v>71201.51999999999</v>
      </c>
      <c r="B469" s="71">
        <f>+B468+A469</f>
        <v/>
      </c>
      <c r="C469" s="73" t="n">
        <v>90.02</v>
      </c>
    </row>
    <row r="470">
      <c r="A470" s="2" t="n"/>
      <c r="B470" s="74" t="inlineStr">
        <is>
          <t xml:space="preserve">合計 </t>
        </is>
      </c>
      <c r="C470" s="73">
        <f>SUM(C459:C469)</f>
        <v/>
      </c>
    </row>
    <row r="471">
      <c r="A471" s="2" t="n"/>
      <c r="B471" s="74" t="inlineStr">
        <is>
          <t>核驗</t>
        </is>
      </c>
      <c r="C471" s="73">
        <f>+B469-B458</f>
        <v/>
      </c>
    </row>
    <row r="472">
      <c r="A472" s="5" t="n"/>
      <c r="B472" s="71" t="n"/>
      <c r="C472" s="43" t="n"/>
    </row>
    <row r="473">
      <c r="A473" s="43" t="inlineStr">
        <is>
          <t>2026.04.17當沖</t>
        </is>
      </c>
      <c r="B473" s="74" t="inlineStr">
        <is>
          <t>買</t>
        </is>
      </c>
      <c r="C473" s="74">
        <f>SUMIF(A459:A469,"&lt;0")-C478</f>
        <v/>
      </c>
    </row>
    <row r="474">
      <c r="A474" s="43">
        <f>"SPY " &amp; (COUNT(C459:C469)-1) * 100 &amp; "股"</f>
        <v/>
      </c>
      <c r="B474" s="74" t="inlineStr">
        <is>
          <t>賣</t>
        </is>
      </c>
      <c r="C474" s="74">
        <f>SUMIF(A459:A469,"&gt;0")-C479</f>
        <v/>
      </c>
    </row>
    <row r="475" ht="17.25" customHeight="1" s="67" thickBot="1">
      <c r="A475" s="70" t="n"/>
      <c r="B475" s="74" t="inlineStr">
        <is>
          <t>當日損益</t>
        </is>
      </c>
      <c r="C475" s="75">
        <f>+C473+C474</f>
        <v/>
      </c>
    </row>
    <row r="476" ht="17.25" customHeight="1" s="67" thickTop="1">
      <c r="A476" s="70" t="n"/>
      <c r="B476" s="74" t="inlineStr">
        <is>
          <t>當日損益 %</t>
        </is>
      </c>
      <c r="C476" s="36">
        <f>C475/ABS(C473)</f>
        <v/>
      </c>
    </row>
    <row r="477">
      <c r="A477" s="5" t="n"/>
      <c r="B477" s="71" t="n"/>
      <c r="C477" s="43" t="n"/>
    </row>
    <row r="478">
      <c r="A478" s="43" t="inlineStr">
        <is>
          <t>2026.04.17 當沖</t>
        </is>
      </c>
      <c r="B478" s="74" t="inlineStr">
        <is>
          <t>買</t>
        </is>
      </c>
      <c r="C478" s="74">
        <f>SUMIF(A460:A461,"&lt;0")</f>
        <v/>
      </c>
    </row>
    <row r="479">
      <c r="A479" s="43">
        <f>"NVDA "&amp;COUNT(C461:C462)*100&amp;"股"</f>
        <v/>
      </c>
      <c r="B479" s="74" t="inlineStr">
        <is>
          <t>賣</t>
        </is>
      </c>
      <c r="C479" s="74">
        <f>SUMIF(A461:A462,"&gt;0")</f>
        <v/>
      </c>
    </row>
    <row r="480" ht="17.25" customHeight="1" s="67" thickBot="1">
      <c r="A480" s="70" t="n"/>
      <c r="B480" s="74" t="inlineStr">
        <is>
          <t>當日損益</t>
        </is>
      </c>
      <c r="C480" s="75">
        <f>+C478+C479</f>
        <v/>
      </c>
    </row>
    <row r="481" ht="17.25" customHeight="1" s="67" thickTop="1">
      <c r="A481" s="70" t="n"/>
      <c r="B481" s="74" t="inlineStr">
        <is>
          <t>當日損益 %</t>
        </is>
      </c>
      <c r="C481" s="36">
        <f>C480/ABS(C478)</f>
        <v/>
      </c>
    </row>
    <row r="482">
      <c r="A482" s="5" t="n"/>
      <c r="B482" s="43" t="n"/>
      <c r="C482" s="43" t="n"/>
    </row>
    <row r="483">
      <c r="A483" s="5" t="n"/>
      <c r="B483" s="43" t="n"/>
      <c r="C483" s="43" t="n"/>
    </row>
    <row r="484">
      <c r="A484" s="5" t="n"/>
      <c r="B484" s="43" t="n"/>
      <c r="C484" s="43" t="n"/>
    </row>
    <row r="485">
      <c r="A485" s="5" t="n"/>
      <c r="B485" s="43" t="n"/>
      <c r="C485" s="43" t="n"/>
    </row>
    <row r="486" ht="30" customHeight="1" s="67">
      <c r="A486" s="70" t="inlineStr">
        <is>
          <t>2026.04.20</t>
        </is>
      </c>
      <c r="B486" s="43" t="n"/>
      <c r="C486" s="43" t="n"/>
    </row>
    <row r="487">
      <c r="A487" s="12" t="inlineStr">
        <is>
          <t>無當沖</t>
        </is>
      </c>
      <c r="B487" s="43" t="n"/>
      <c r="C487" s="43" t="n"/>
    </row>
    <row r="488">
      <c r="A488" s="5" t="n"/>
      <c r="B488" s="43" t="n"/>
      <c r="C488" s="43" t="n"/>
    </row>
    <row r="489">
      <c r="A489" s="5" t="n"/>
      <c r="B489" s="43" t="n"/>
      <c r="C489" s="43" t="n"/>
    </row>
    <row r="490" ht="30" customHeight="1" s="67">
      <c r="A490" s="70" t="inlineStr">
        <is>
          <t>2026.04.21</t>
        </is>
      </c>
      <c r="B490" s="71" t="n">
        <v>98987.47</v>
      </c>
      <c r="C490" s="72" t="inlineStr">
        <is>
          <t>損益</t>
        </is>
      </c>
    </row>
    <row r="491">
      <c r="A491" s="1" t="n">
        <v>-71060</v>
      </c>
      <c r="B491" s="71">
        <f>+B490+A491</f>
        <v/>
      </c>
      <c r="C491" s="73" t="n"/>
    </row>
    <row r="492">
      <c r="A492" s="2" t="n">
        <v>-71036</v>
      </c>
      <c r="B492" s="71">
        <f>+B491+A492</f>
        <v/>
      </c>
      <c r="C492" s="73" t="n"/>
    </row>
    <row r="493">
      <c r="A493" s="2" t="n">
        <v>71039.98000000001</v>
      </c>
      <c r="B493" s="71">
        <f>+B492+A493</f>
        <v/>
      </c>
      <c r="C493" s="73" t="n">
        <v>3.98</v>
      </c>
    </row>
    <row r="494">
      <c r="A494" s="1" t="n">
        <v>71052.02</v>
      </c>
      <c r="B494" s="71">
        <f>+B493+A494</f>
        <v/>
      </c>
      <c r="C494" s="73" t="n">
        <v>-7.98</v>
      </c>
    </row>
    <row r="495">
      <c r="A495" s="2" t="n">
        <v>-24056.16</v>
      </c>
      <c r="B495" s="71">
        <f>+B494+A495</f>
        <v/>
      </c>
      <c r="C495" s="73" t="n"/>
    </row>
    <row r="496">
      <c r="A496" s="2" t="n">
        <v>-46697.26</v>
      </c>
      <c r="B496" s="71">
        <f>+B495+A496</f>
        <v/>
      </c>
      <c r="C496" s="73" t="n"/>
    </row>
    <row r="497">
      <c r="A497" s="2" t="n">
        <v>70698.02</v>
      </c>
      <c r="B497" s="71">
        <f>+B496+A497</f>
        <v/>
      </c>
      <c r="C497" s="73" t="n">
        <v>-55.4</v>
      </c>
    </row>
    <row r="498">
      <c r="A498" s="2" t="n">
        <v>-70705</v>
      </c>
      <c r="B498" s="71">
        <f>+B497+A498</f>
        <v/>
      </c>
      <c r="C498" s="73" t="n"/>
    </row>
    <row r="499">
      <c r="A499" s="2" t="n">
        <v>70734.02</v>
      </c>
      <c r="B499" s="71">
        <f>+B498+A499</f>
        <v/>
      </c>
      <c r="C499" s="73" t="n">
        <v>29.02</v>
      </c>
    </row>
    <row r="500">
      <c r="A500" s="2" t="n">
        <v>-70560</v>
      </c>
      <c r="B500" s="71">
        <f>+B499+A500</f>
        <v/>
      </c>
      <c r="C500" s="73" t="n"/>
    </row>
    <row r="501">
      <c r="A501" s="2" t="n">
        <v>70572.53</v>
      </c>
      <c r="B501" s="71">
        <f>+B500+A501</f>
        <v/>
      </c>
      <c r="C501" s="73" t="n">
        <v>12.53</v>
      </c>
    </row>
    <row r="502">
      <c r="A502" s="2" t="n">
        <v>-70605.72</v>
      </c>
      <c r="B502" s="71">
        <f>+B501+A502</f>
        <v/>
      </c>
      <c r="C502" s="73" t="n"/>
    </row>
    <row r="503">
      <c r="A503" s="2" t="n">
        <v>28268.21</v>
      </c>
      <c r="B503" s="71">
        <f>+B502+A503</f>
        <v/>
      </c>
      <c r="C503" s="73" t="n"/>
    </row>
    <row r="504">
      <c r="A504" s="2" t="n">
        <v>42402.31</v>
      </c>
      <c r="B504" s="71">
        <f>+B503+A504</f>
        <v/>
      </c>
      <c r="C504" s="73" t="n">
        <v>64.8</v>
      </c>
    </row>
    <row r="505">
      <c r="A505" s="2" t="n"/>
      <c r="B505" s="74" t="inlineStr">
        <is>
          <t xml:space="preserve">合計 </t>
        </is>
      </c>
      <c r="C505" s="73">
        <f>SUM(C491:C504)</f>
        <v/>
      </c>
    </row>
    <row r="506">
      <c r="A506" s="2" t="n"/>
      <c r="B506" s="74" t="inlineStr">
        <is>
          <t>核驗</t>
        </is>
      </c>
      <c r="C506" s="73">
        <f>+B504-B490</f>
        <v/>
      </c>
    </row>
    <row r="507">
      <c r="A507" s="5" t="n"/>
      <c r="B507" s="71" t="n"/>
      <c r="C507" s="43" t="n"/>
    </row>
    <row r="508">
      <c r="A508" s="43" t="inlineStr">
        <is>
          <t>2026.04.21當沖</t>
        </is>
      </c>
      <c r="B508" s="74" t="inlineStr">
        <is>
          <t>買</t>
        </is>
      </c>
      <c r="C508" s="74">
        <f>SUMIF(A491:A504,"&lt;0")</f>
        <v/>
      </c>
    </row>
    <row r="509">
      <c r="A509" s="43">
        <f>"SPY " &amp; COUNT(C491:C504) * 100 &amp; "股"</f>
        <v/>
      </c>
      <c r="B509" s="74" t="inlineStr">
        <is>
          <t>賣</t>
        </is>
      </c>
      <c r="C509" s="74">
        <f>SUMIF(A491:A504,"&gt;0")</f>
        <v/>
      </c>
    </row>
    <row r="510" ht="17.25" customHeight="1" s="67" thickBot="1">
      <c r="A510" s="70" t="n"/>
      <c r="B510" s="74" t="inlineStr">
        <is>
          <t>當日損益</t>
        </is>
      </c>
      <c r="C510" s="75">
        <f>+C508+C509</f>
        <v/>
      </c>
    </row>
    <row r="511" ht="17.25" customHeight="1" s="67" thickTop="1">
      <c r="A511" s="70" t="n"/>
      <c r="B511" s="74" t="inlineStr">
        <is>
          <t>當日損益 %</t>
        </is>
      </c>
      <c r="C511" s="36">
        <f>C510/ABS(C508)</f>
        <v/>
      </c>
    </row>
    <row r="512">
      <c r="A512" s="5" t="n"/>
      <c r="B512" s="71" t="n"/>
      <c r="C512" s="43" t="n"/>
    </row>
    <row r="513">
      <c r="A513" s="5" t="n"/>
      <c r="B513" s="43" t="n"/>
      <c r="C513" s="43" t="n"/>
    </row>
    <row r="514">
      <c r="A514" s="5" t="n"/>
      <c r="B514" s="43" t="n"/>
      <c r="C514" s="43" t="n"/>
    </row>
    <row r="515" ht="30" customHeight="1" s="67">
      <c r="A515" s="70" t="inlineStr">
        <is>
          <t>2026.04.22</t>
        </is>
      </c>
      <c r="B515" s="71" t="n">
        <v>98987.47</v>
      </c>
      <c r="C515" s="72" t="inlineStr">
        <is>
          <t>損益</t>
        </is>
      </c>
    </row>
    <row r="516">
      <c r="A516" s="2" t="n">
        <v>-21272.19</v>
      </c>
      <c r="B516" s="71">
        <f>+B515+A516</f>
        <v/>
      </c>
      <c r="C516" s="13" t="n"/>
    </row>
    <row r="517">
      <c r="A517" s="2" t="n">
        <v>-49635.11</v>
      </c>
      <c r="B517" s="71">
        <f>+B516+A517</f>
        <v/>
      </c>
      <c r="C517" s="13" t="n"/>
    </row>
    <row r="518">
      <c r="A518" s="2" t="n">
        <v>70965.52</v>
      </c>
      <c r="B518" s="71">
        <f>+B517+A518</f>
        <v/>
      </c>
      <c r="C518" s="14" t="n">
        <v>58.22</v>
      </c>
    </row>
    <row r="519">
      <c r="A519" s="2" t="n"/>
      <c r="B519" s="74" t="inlineStr">
        <is>
          <t xml:space="preserve">合計 </t>
        </is>
      </c>
      <c r="C519" s="73">
        <f>SUM(C515:C518)</f>
        <v/>
      </c>
    </row>
    <row r="520">
      <c r="A520" s="2" t="n"/>
      <c r="B520" s="74" t="inlineStr">
        <is>
          <t>核驗</t>
        </is>
      </c>
      <c r="C520" s="73">
        <f>+B518-B515</f>
        <v/>
      </c>
    </row>
    <row r="521">
      <c r="A521" s="5" t="n"/>
      <c r="B521" s="71" t="n"/>
      <c r="C521" s="43" t="n"/>
    </row>
    <row r="522">
      <c r="A522" s="43" t="inlineStr">
        <is>
          <t>2026.04.22當沖</t>
        </is>
      </c>
      <c r="B522" s="74" t="inlineStr">
        <is>
          <t>買</t>
        </is>
      </c>
      <c r="C522" s="74">
        <f>SUMIF(A516:A518,"&lt;0")</f>
        <v/>
      </c>
    </row>
    <row r="523">
      <c r="A523" s="43">
        <f>"SPY " &amp; COUNT(C516:C518) * 100 &amp; "股"</f>
        <v/>
      </c>
      <c r="B523" s="74" t="inlineStr">
        <is>
          <t>賣</t>
        </is>
      </c>
      <c r="C523" s="74">
        <f>SUMIF(A516:A518,"&gt;0")</f>
        <v/>
      </c>
    </row>
    <row r="524" ht="17.25" customHeight="1" s="67" thickBot="1">
      <c r="A524" s="70" t="n"/>
      <c r="B524" s="74" t="inlineStr">
        <is>
          <t>當日損益</t>
        </is>
      </c>
      <c r="C524" s="75">
        <f>+C522+C523</f>
        <v/>
      </c>
    </row>
    <row r="525" ht="17.25" customHeight="1" s="67" thickTop="1">
      <c r="A525" s="70" t="n"/>
      <c r="B525" s="74" t="inlineStr">
        <is>
          <t>當日損益 %</t>
        </is>
      </c>
      <c r="C525" s="36">
        <f>C524/ABS(C522)</f>
        <v/>
      </c>
    </row>
    <row r="526">
      <c r="A526" s="5" t="n"/>
      <c r="B526" s="43" t="n"/>
      <c r="C526" s="43" t="n"/>
    </row>
    <row r="527">
      <c r="A527" s="5" t="n"/>
      <c r="B527" s="43" t="n"/>
      <c r="C527" s="43" t="n"/>
    </row>
    <row r="528" ht="30" customHeight="1" s="67">
      <c r="A528" s="70" t="inlineStr">
        <is>
          <t>2026.04.23</t>
        </is>
      </c>
      <c r="B528" s="71" t="n">
        <v>99034.42</v>
      </c>
      <c r="C528" s="72" t="inlineStr">
        <is>
          <t>損益</t>
        </is>
      </c>
    </row>
    <row r="529">
      <c r="A529" s="2" t="n">
        <v>-19182.29</v>
      </c>
      <c r="B529" s="71">
        <f>+B528+A529</f>
        <v/>
      </c>
      <c r="C529" s="13" t="n"/>
    </row>
    <row r="530">
      <c r="A530" s="2" t="n">
        <v>-51864.3</v>
      </c>
      <c r="B530" s="71">
        <f>+B529+A530</f>
        <v/>
      </c>
      <c r="C530" s="13" t="n"/>
    </row>
    <row r="531">
      <c r="A531" s="2" t="n">
        <v>71041.52</v>
      </c>
      <c r="B531" s="71">
        <f>+B530+A531</f>
        <v/>
      </c>
      <c r="C531" s="15" t="n">
        <v>-5.07</v>
      </c>
    </row>
    <row r="532">
      <c r="A532" s="2" t="n">
        <v>-70974</v>
      </c>
      <c r="B532" s="71">
        <f>+B531+A532</f>
        <v/>
      </c>
      <c r="C532" s="13" t="n"/>
    </row>
    <row r="533">
      <c r="A533" s="2" t="n">
        <v>71006.02</v>
      </c>
      <c r="B533" s="71">
        <f>+B532+A533</f>
        <v/>
      </c>
      <c r="C533" s="14" t="n">
        <v>32.02</v>
      </c>
    </row>
    <row r="534">
      <c r="A534" s="2" t="n">
        <v>-70981.99000000001</v>
      </c>
      <c r="B534" s="71">
        <f>+B533+A534</f>
        <v/>
      </c>
      <c r="C534" s="13" t="n"/>
    </row>
    <row r="535">
      <c r="A535" s="2" t="n">
        <v>71024.24000000001</v>
      </c>
      <c r="B535" s="71">
        <f>+B534+A535</f>
        <v/>
      </c>
      <c r="C535" s="14" t="n">
        <v>42.25</v>
      </c>
    </row>
    <row r="536">
      <c r="A536" s="2" t="n">
        <v>-71059.5</v>
      </c>
      <c r="B536" s="71">
        <f>+B535+A536</f>
        <v/>
      </c>
      <c r="C536" s="13" t="n"/>
    </row>
    <row r="537">
      <c r="A537" s="2" t="n">
        <v>71064.03</v>
      </c>
      <c r="B537" s="71">
        <f>+B536+A537</f>
        <v/>
      </c>
      <c r="C537" s="14" t="n">
        <v>4.53</v>
      </c>
    </row>
    <row r="538">
      <c r="A538" s="2" t="n">
        <v>-71078</v>
      </c>
      <c r="B538" s="71">
        <f>+B537+A538</f>
        <v/>
      </c>
      <c r="C538" s="13" t="n"/>
    </row>
    <row r="539">
      <c r="A539" s="2" t="n">
        <v>71097.52</v>
      </c>
      <c r="B539" s="71">
        <f>+B538+A539</f>
        <v/>
      </c>
      <c r="C539" s="14" t="n">
        <v>19.52</v>
      </c>
    </row>
    <row r="540">
      <c r="A540" s="2" t="n">
        <v>-71060.5</v>
      </c>
      <c r="B540" s="71">
        <f>+B539+A540</f>
        <v/>
      </c>
      <c r="C540" s="13" t="n"/>
    </row>
    <row r="541">
      <c r="A541" s="2" t="n">
        <v>710.83</v>
      </c>
      <c r="B541" s="71">
        <f>+B540+A541</f>
        <v/>
      </c>
      <c r="C541" s="13" t="n"/>
    </row>
    <row r="542">
      <c r="A542" s="2" t="n">
        <v>11373.06</v>
      </c>
      <c r="B542" s="71">
        <f>+B541+A542</f>
        <v/>
      </c>
      <c r="C542" s="13" t="n"/>
    </row>
    <row r="543">
      <c r="A543" s="2" t="n">
        <v>58997.67</v>
      </c>
      <c r="B543" s="71">
        <f>+B542+A543</f>
        <v/>
      </c>
      <c r="C543" s="14" t="n">
        <v>21.06</v>
      </c>
    </row>
    <row r="544">
      <c r="A544" s="2" t="n">
        <v>-71172.99000000001</v>
      </c>
      <c r="B544" s="71">
        <f>+B543+A544</f>
        <v/>
      </c>
      <c r="C544" s="13" t="n"/>
    </row>
    <row r="545">
      <c r="A545" s="2" t="n">
        <v>14234.11</v>
      </c>
      <c r="B545" s="71">
        <f>+B544+A545</f>
        <v/>
      </c>
      <c r="C545" s="13" t="n"/>
    </row>
    <row r="546">
      <c r="A546" s="2" t="n">
        <v>2135.11</v>
      </c>
      <c r="B546" s="71">
        <f>+B545+A546</f>
        <v/>
      </c>
      <c r="C546" s="13" t="n"/>
    </row>
    <row r="547">
      <c r="A547" s="2" t="n">
        <v>26333.1</v>
      </c>
      <c r="B547" s="71">
        <f>+B546+A547</f>
        <v/>
      </c>
      <c r="C547" s="13" t="n"/>
    </row>
    <row r="548">
      <c r="A548" s="2" t="n">
        <v>28468.2</v>
      </c>
      <c r="B548" s="71">
        <f>+B547+A548</f>
        <v/>
      </c>
      <c r="C548" s="15" t="n">
        <v>-2.47</v>
      </c>
    </row>
    <row r="549">
      <c r="A549" s="16" t="n">
        <v>-71205.99000000001</v>
      </c>
      <c r="B549" s="71">
        <f>+B548+A549</f>
        <v/>
      </c>
      <c r="C549" s="13" t="n"/>
    </row>
    <row r="550">
      <c r="A550" s="16" t="n">
        <v>-71129</v>
      </c>
      <c r="B550" s="71">
        <f>+B549+A550</f>
        <v/>
      </c>
      <c r="C550" s="13" t="n"/>
    </row>
    <row r="551">
      <c r="A551" s="2" t="n"/>
      <c r="B551" s="74" t="inlineStr">
        <is>
          <t xml:space="preserve">合計 </t>
        </is>
      </c>
      <c r="C551" s="73">
        <f>SUM(C529:C550)</f>
        <v/>
      </c>
    </row>
    <row r="552">
      <c r="A552" s="2" t="n"/>
      <c r="B552" s="74" t="inlineStr">
        <is>
          <t>核驗</t>
        </is>
      </c>
      <c r="C552" s="73">
        <f>+B548-B528</f>
        <v/>
      </c>
    </row>
    <row r="553">
      <c r="A553" s="5" t="n"/>
      <c r="B553" s="71" t="n"/>
      <c r="C553" s="43" t="n"/>
    </row>
    <row r="554">
      <c r="A554" s="43" t="inlineStr">
        <is>
          <t>2026.04.23當沖</t>
        </is>
      </c>
      <c r="B554" s="74" t="inlineStr">
        <is>
          <t>買</t>
        </is>
      </c>
      <c r="C554" s="74">
        <f>SUMIF(A529:A548,"&lt;0")</f>
        <v/>
      </c>
    </row>
    <row r="555">
      <c r="A555" s="43">
        <f>"SPY " &amp; COUNT(C529:C548) * 100 &amp; "股"</f>
        <v/>
      </c>
      <c r="B555" s="74" t="inlineStr">
        <is>
          <t>賣</t>
        </is>
      </c>
      <c r="C555" s="74">
        <f>SUMIF(A529:A548,"&gt;0")</f>
        <v/>
      </c>
    </row>
    <row r="556" ht="17.25" customHeight="1" s="67" thickBot="1">
      <c r="A556" s="70" t="n"/>
      <c r="B556" s="74" t="inlineStr">
        <is>
          <t>當日損益</t>
        </is>
      </c>
      <c r="C556" s="75">
        <f>+C554+C555</f>
        <v/>
      </c>
    </row>
    <row r="557" ht="17.25" customHeight="1" s="67" thickTop="1">
      <c r="A557" s="70" t="n"/>
      <c r="B557" s="74" t="inlineStr">
        <is>
          <t>當日損益 %</t>
        </is>
      </c>
      <c r="C557" s="36">
        <f>C556/ABS(C554)</f>
        <v/>
      </c>
    </row>
    <row r="558">
      <c r="A558" s="5" t="n"/>
      <c r="B558" s="43" t="n"/>
      <c r="C558" s="43" t="n"/>
    </row>
    <row r="559">
      <c r="A559" s="43" t="inlineStr">
        <is>
          <t>累積留倉   200股</t>
        </is>
      </c>
      <c r="B559" s="43" t="n"/>
      <c r="C559" s="43" t="n"/>
    </row>
    <row r="560">
      <c r="A560" s="43" t="inlineStr">
        <is>
          <t>2026.04.23 留倉</t>
        </is>
      </c>
      <c r="B560" s="43" t="inlineStr">
        <is>
          <t>買 100股</t>
        </is>
      </c>
      <c r="C560" s="74" t="n">
        <v>-71205.99000000001</v>
      </c>
    </row>
    <row r="561">
      <c r="A561" s="43" t="inlineStr">
        <is>
          <t>2026.04.23 留倉</t>
        </is>
      </c>
      <c r="B561" s="43" t="inlineStr">
        <is>
          <t>買 100股</t>
        </is>
      </c>
      <c r="C561" s="74" t="n">
        <v>-71129</v>
      </c>
    </row>
    <row r="562">
      <c r="A562" s="5" t="n"/>
      <c r="B562" s="43" t="n"/>
      <c r="C562" s="43" t="n"/>
    </row>
    <row r="563">
      <c r="A563" s="5" t="n"/>
      <c r="B563" s="43" t="n"/>
      <c r="C563" s="43" t="n"/>
    </row>
    <row r="564">
      <c r="A564" s="5" t="n"/>
      <c r="B564" s="43" t="n"/>
      <c r="C564" s="43" t="n"/>
    </row>
    <row r="565">
      <c r="A565" s="5" t="n"/>
      <c r="B565" s="43" t="n"/>
      <c r="C565" s="43" t="n"/>
    </row>
    <row r="566">
      <c r="A566" s="5" t="n"/>
      <c r="B566" s="43" t="n"/>
      <c r="C566" s="43" t="n"/>
    </row>
    <row r="567">
      <c r="A567" s="5" t="n"/>
      <c r="B567" s="43" t="n"/>
      <c r="C567" s="43" t="n"/>
    </row>
    <row r="568" ht="30" customHeight="1" s="67">
      <c r="A568" s="70" t="inlineStr">
        <is>
          <t>2026.04.24</t>
        </is>
      </c>
      <c r="B568" s="71" t="n">
        <v>99092.64</v>
      </c>
      <c r="C568" s="72" t="inlineStr">
        <is>
          <t>損益</t>
        </is>
      </c>
    </row>
    <row r="569">
      <c r="A569" s="6" t="n">
        <v>71146.50999999999</v>
      </c>
      <c r="B569" s="71">
        <f>+B568+A569</f>
        <v/>
      </c>
      <c r="C569" s="14" t="n">
        <v>17.51</v>
      </c>
    </row>
    <row r="570">
      <c r="A570" s="6" t="n">
        <v>35591.27</v>
      </c>
      <c r="B570" s="71">
        <f>+B569+A570</f>
        <v/>
      </c>
      <c r="C570" s="13" t="n"/>
    </row>
    <row r="571">
      <c r="A571" s="6" t="n">
        <v>28473</v>
      </c>
      <c r="B571" s="71">
        <f>+B570+A571</f>
        <v/>
      </c>
      <c r="C571" s="13" t="n"/>
    </row>
    <row r="572">
      <c r="A572" s="6" t="n">
        <v>711.83</v>
      </c>
      <c r="B572" s="71">
        <f>+B571+A572</f>
        <v/>
      </c>
      <c r="C572" s="13" t="n"/>
    </row>
    <row r="573">
      <c r="A573" s="6" t="n">
        <v>6406.42</v>
      </c>
      <c r="B573" s="71">
        <f>+B572+A573</f>
        <v/>
      </c>
      <c r="C573" s="15" t="n">
        <v>-23.47</v>
      </c>
    </row>
    <row r="574">
      <c r="A574" s="6" t="n"/>
      <c r="B574" s="74" t="inlineStr">
        <is>
          <t xml:space="preserve">合計 </t>
        </is>
      </c>
      <c r="C574" s="73" t="n">
        <v>0</v>
      </c>
    </row>
    <row r="575">
      <c r="A575" s="6" t="n"/>
      <c r="B575" s="74" t="inlineStr">
        <is>
          <t>核驗</t>
        </is>
      </c>
      <c r="C575" s="73" t="n">
        <v>0</v>
      </c>
    </row>
    <row r="576">
      <c r="A576" s="43" t="inlineStr">
        <is>
          <t>2026.04.24無當沖</t>
        </is>
      </c>
      <c r="B576" s="71" t="n"/>
      <c r="C576" s="15" t="n"/>
    </row>
    <row r="577">
      <c r="A577" s="6" t="n"/>
      <c r="B577" s="71" t="n"/>
      <c r="C577" s="15" t="n"/>
    </row>
    <row r="578">
      <c r="A578" s="43" t="inlineStr">
        <is>
          <t>2026.04.23買入</t>
        </is>
      </c>
      <c r="B578" s="74" t="inlineStr">
        <is>
          <t>100股</t>
        </is>
      </c>
      <c r="C578" s="74" t="n">
        <v>-71205.99000000001</v>
      </c>
    </row>
    <row r="579">
      <c r="A579" s="43" t="inlineStr">
        <is>
          <t>2026.04.24平倉</t>
        </is>
      </c>
      <c r="B579" s="74" t="inlineStr">
        <is>
          <t>100股</t>
        </is>
      </c>
      <c r="C579" s="74" t="n">
        <v>71182.52</v>
      </c>
    </row>
    <row r="580" ht="17.25" customHeight="1" s="67" thickBot="1">
      <c r="A580" s="70" t="n"/>
      <c r="B580" s="74" t="inlineStr">
        <is>
          <t>當日損益</t>
        </is>
      </c>
      <c r="C580" s="75">
        <f>+C578+C579</f>
        <v/>
      </c>
    </row>
    <row r="581" ht="17.25" customHeight="1" s="67" thickTop="1">
      <c r="A581" s="70" t="n"/>
      <c r="B581" s="74" t="inlineStr">
        <is>
          <t>當日損益 %</t>
        </is>
      </c>
      <c r="C581" s="36">
        <f>C580/ABS(C578)</f>
        <v/>
      </c>
    </row>
    <row r="582">
      <c r="A582" s="43" t="n"/>
      <c r="B582" s="43" t="n"/>
      <c r="C582" s="43" t="n"/>
    </row>
    <row r="583">
      <c r="A583" s="43" t="inlineStr">
        <is>
          <t>2026.04.23買入</t>
        </is>
      </c>
      <c r="B583" s="74" t="inlineStr">
        <is>
          <t>100股</t>
        </is>
      </c>
      <c r="C583" s="74" t="n">
        <v>-71129</v>
      </c>
    </row>
    <row r="584">
      <c r="A584" s="43" t="inlineStr">
        <is>
          <t>2026.04.24平倉</t>
        </is>
      </c>
      <c r="B584" s="74" t="inlineStr">
        <is>
          <t>100股</t>
        </is>
      </c>
      <c r="C584" s="74" t="n">
        <v>71146.50999999999</v>
      </c>
    </row>
    <row r="585" ht="17.25" customHeight="1" s="67" thickBot="1">
      <c r="A585" s="70" t="n"/>
      <c r="B585" s="74" t="inlineStr">
        <is>
          <t>當日損益</t>
        </is>
      </c>
      <c r="C585" s="75">
        <f>+C583+C584</f>
        <v/>
      </c>
    </row>
    <row r="586" ht="17.25" customHeight="1" s="67" thickTop="1">
      <c r="A586" s="70" t="n"/>
      <c r="B586" s="74" t="inlineStr">
        <is>
          <t>當日損益 %</t>
        </is>
      </c>
      <c r="C586" s="36">
        <f>C585/ABS(C583)</f>
        <v/>
      </c>
    </row>
    <row r="587">
      <c r="A587" s="70" t="n"/>
      <c r="B587" s="70" t="n"/>
      <c r="C587" s="70" t="n"/>
    </row>
    <row r="588">
      <c r="A588" s="70" t="n"/>
      <c r="B588" s="70" t="n"/>
      <c r="C588" s="70" t="n"/>
    </row>
    <row r="589">
      <c r="A589" s="5" t="n"/>
      <c r="B589" s="43" t="n"/>
      <c r="C589" s="43" t="n"/>
    </row>
    <row r="590">
      <c r="A590" s="5" t="n"/>
      <c r="B590" s="43" t="n"/>
      <c r="C590" s="43" t="n"/>
    </row>
    <row r="591">
      <c r="A591" s="5" t="n"/>
      <c r="B591" s="43" t="n"/>
      <c r="C591" s="43" t="n"/>
    </row>
    <row r="592" ht="30" customHeight="1" s="67">
      <c r="A592" s="70" t="inlineStr">
        <is>
          <t>2026.04.27</t>
        </is>
      </c>
      <c r="B592" s="71" t="n">
        <v>-43130.51</v>
      </c>
      <c r="C592" s="72" t="inlineStr">
        <is>
          <t>損益</t>
        </is>
      </c>
    </row>
    <row r="593">
      <c r="A593" s="2" t="n">
        <v>-71388.16</v>
      </c>
      <c r="B593" s="71">
        <f>+B592+A593</f>
        <v/>
      </c>
      <c r="C593" s="13" t="n"/>
    </row>
    <row r="594">
      <c r="A594" s="2" t="n">
        <v>71429.00999999999</v>
      </c>
      <c r="B594" s="71">
        <f>+B593+A594</f>
        <v/>
      </c>
      <c r="C594" s="14" t="n">
        <v>40.85</v>
      </c>
    </row>
    <row r="595">
      <c r="A595" s="2" t="n"/>
      <c r="B595" s="74" t="inlineStr">
        <is>
          <t xml:space="preserve">合計 </t>
        </is>
      </c>
      <c r="C595" s="73">
        <f>SUM(C593:C594)</f>
        <v/>
      </c>
    </row>
    <row r="596">
      <c r="A596" s="2" t="n"/>
      <c r="B596" s="74" t="inlineStr">
        <is>
          <t>核驗</t>
        </is>
      </c>
      <c r="C596" s="73">
        <f>+B594-B592</f>
        <v/>
      </c>
    </row>
    <row r="597">
      <c r="A597" s="5" t="n"/>
      <c r="B597" s="71" t="n"/>
      <c r="C597" s="43" t="n"/>
    </row>
    <row r="598">
      <c r="A598" s="43" t="inlineStr">
        <is>
          <t>2026.04.27當沖</t>
        </is>
      </c>
      <c r="B598" s="74" t="inlineStr">
        <is>
          <t>買</t>
        </is>
      </c>
      <c r="C598" s="74">
        <f>SUMIF(A593:A594,"&lt;0")</f>
        <v/>
      </c>
    </row>
    <row r="599">
      <c r="A599" s="43">
        <f>"SPY " &amp; COUNT(C593:C594) * 100 &amp; "股"</f>
        <v/>
      </c>
      <c r="B599" s="74" t="inlineStr">
        <is>
          <t>賣</t>
        </is>
      </c>
      <c r="C599" s="74">
        <f>SUMIF(A593:A594,"&gt;0")</f>
        <v/>
      </c>
    </row>
    <row r="600" ht="17.25" customHeight="1" s="67" thickBot="1">
      <c r="A600" s="70" t="n"/>
      <c r="B600" s="74" t="inlineStr">
        <is>
          <t>當日損益</t>
        </is>
      </c>
      <c r="C600" s="75">
        <f>+C598+C599</f>
        <v/>
      </c>
    </row>
    <row r="601" ht="17.25" customHeight="1" s="67" thickTop="1">
      <c r="A601" s="70" t="n"/>
      <c r="B601" s="74" t="inlineStr">
        <is>
          <t>當日損益 %</t>
        </is>
      </c>
      <c r="C601" s="36">
        <f>C600/ABS(C598)</f>
        <v/>
      </c>
    </row>
    <row r="602">
      <c r="A602" s="5" t="n"/>
      <c r="B602" s="43" t="n"/>
      <c r="C602" s="43" t="n"/>
    </row>
    <row r="603">
      <c r="A603" s="5" t="n"/>
      <c r="B603" s="43" t="n"/>
      <c r="C603" s="43" t="n"/>
    </row>
    <row r="604" ht="30" customHeight="1" s="67">
      <c r="A604" s="70" t="inlineStr">
        <is>
          <t>2026.04.28</t>
        </is>
      </c>
      <c r="B604" s="71" t="n">
        <v>99198.52</v>
      </c>
      <c r="C604" s="72" t="inlineStr">
        <is>
          <t>損益</t>
        </is>
      </c>
    </row>
    <row r="605">
      <c r="A605" s="6" t="n">
        <v>-71170.58</v>
      </c>
      <c r="B605" s="71">
        <f>+B604+A605</f>
        <v/>
      </c>
      <c r="C605" s="17" t="n"/>
    </row>
    <row r="606">
      <c r="A606" s="6" t="n">
        <v>71179.50999999999</v>
      </c>
      <c r="B606" s="71">
        <f>+B605+A606</f>
        <v/>
      </c>
      <c r="C606" s="18" t="n">
        <v>8.93</v>
      </c>
    </row>
    <row r="607">
      <c r="A607" s="19" t="n">
        <v>-71240.38</v>
      </c>
      <c r="B607" s="79">
        <f>+B606+A607</f>
        <v/>
      </c>
      <c r="C607" s="17" t="n"/>
    </row>
    <row r="608">
      <c r="A608" s="6" t="n">
        <v>-28496.4</v>
      </c>
      <c r="B608" s="71">
        <f>+B607+A608</f>
        <v/>
      </c>
      <c r="C608" s="17" t="n"/>
    </row>
    <row r="609">
      <c r="A609" s="6" t="n">
        <v>-42744.6</v>
      </c>
      <c r="B609" s="71">
        <f>+B608+A609</f>
        <v/>
      </c>
      <c r="C609" s="17" t="n"/>
    </row>
    <row r="610">
      <c r="A610" s="6" t="n">
        <v>71229.51999999999</v>
      </c>
      <c r="B610" s="71">
        <f>+B609+A610</f>
        <v/>
      </c>
      <c r="C610" s="20" t="n">
        <v>-11.48</v>
      </c>
    </row>
    <row r="611">
      <c r="A611" s="19" t="n">
        <v>-71205</v>
      </c>
      <c r="B611" s="79">
        <f>+B610+A611</f>
        <v/>
      </c>
      <c r="C611" s="17" t="n"/>
    </row>
    <row r="612">
      <c r="A612" s="2" t="n"/>
      <c r="B612" s="74" t="inlineStr">
        <is>
          <t xml:space="preserve">合計 </t>
        </is>
      </c>
      <c r="C612" s="73">
        <f>SUM(C605:C611)</f>
        <v/>
      </c>
    </row>
    <row r="613">
      <c r="A613" s="2" t="n"/>
      <c r="B613" s="74" t="inlineStr">
        <is>
          <t>核驗</t>
        </is>
      </c>
      <c r="C613" s="73">
        <f>+B611-B604-A611-A607</f>
        <v/>
      </c>
    </row>
    <row r="614">
      <c r="A614" s="5" t="n"/>
      <c r="B614" s="71" t="n"/>
      <c r="C614" s="43" t="n"/>
    </row>
    <row r="615">
      <c r="A615" s="43" t="inlineStr">
        <is>
          <t>2026.04.28當沖</t>
        </is>
      </c>
      <c r="B615" s="74" t="inlineStr">
        <is>
          <t>買</t>
        </is>
      </c>
      <c r="C615" s="74">
        <f>SUMIF(A605:A611,"&lt;0")-A607-A611</f>
        <v/>
      </c>
    </row>
    <row r="616">
      <c r="A616" s="43">
        <f>"SPY " &amp; COUNT(C605:C611) * 100 &amp; "股"</f>
        <v/>
      </c>
      <c r="B616" s="74" t="inlineStr">
        <is>
          <t>賣</t>
        </is>
      </c>
      <c r="C616" s="74">
        <f>SUMIF(A605:A611,"&gt;0")</f>
        <v/>
      </c>
    </row>
    <row r="617" ht="17.25" customHeight="1" s="67" thickBot="1">
      <c r="A617" s="70" t="n"/>
      <c r="B617" s="74" t="inlineStr">
        <is>
          <t>當日損益</t>
        </is>
      </c>
      <c r="C617" s="75">
        <f>+C615+C616</f>
        <v/>
      </c>
    </row>
    <row r="618" ht="17.25" customHeight="1" s="67" thickTop="1">
      <c r="A618" s="70" t="n"/>
      <c r="B618" s="74" t="inlineStr">
        <is>
          <t>當日損益 %</t>
        </is>
      </c>
      <c r="C618" s="36">
        <f>C617/ABS(C615)</f>
        <v/>
      </c>
    </row>
    <row r="619">
      <c r="A619" s="5" t="n"/>
      <c r="B619" s="43" t="n"/>
      <c r="C619" s="43" t="n"/>
    </row>
    <row r="620">
      <c r="A620" s="43" t="inlineStr">
        <is>
          <t>累積留倉   200股</t>
        </is>
      </c>
      <c r="B620" s="43" t="n"/>
      <c r="C620" s="43" t="n"/>
    </row>
    <row r="621">
      <c r="A621" s="43" t="inlineStr">
        <is>
          <t>2026.04.28 留倉</t>
        </is>
      </c>
      <c r="B621" s="43" t="inlineStr">
        <is>
          <t>買 100股</t>
        </is>
      </c>
      <c r="C621" s="74">
        <f>A607</f>
        <v/>
      </c>
    </row>
    <row r="622">
      <c r="A622" s="43" t="inlineStr">
        <is>
          <t>2026.04.28 留倉</t>
        </is>
      </c>
      <c r="B622" s="43" t="inlineStr">
        <is>
          <t>買 100股</t>
        </is>
      </c>
      <c r="C622" s="74">
        <f>A611</f>
        <v/>
      </c>
    </row>
    <row r="623">
      <c r="A623" s="5" t="n"/>
      <c r="B623" s="43" t="n"/>
      <c r="C623" s="43" t="n"/>
    </row>
    <row r="624">
      <c r="A624" s="5" t="n"/>
      <c r="B624" s="43" t="n"/>
      <c r="C624" s="43" t="n"/>
    </row>
    <row r="625" ht="30" customHeight="1" s="67">
      <c r="A625" s="70" t="inlineStr">
        <is>
          <t>2026.04.29</t>
        </is>
      </c>
      <c r="B625" s="71" t="n">
        <v>99239.37</v>
      </c>
      <c r="C625" s="72" t="inlineStr">
        <is>
          <t>損益</t>
        </is>
      </c>
    </row>
    <row r="626">
      <c r="A626" s="2" t="n">
        <v>-71114</v>
      </c>
      <c r="B626" s="71">
        <f>+B625+A626</f>
        <v/>
      </c>
      <c r="C626" s="13" t="n"/>
    </row>
    <row r="627">
      <c r="A627" s="2" t="n">
        <v>71146.00999999999</v>
      </c>
      <c r="B627" s="71">
        <f>+B626+A627</f>
        <v/>
      </c>
      <c r="C627" s="14" t="n">
        <v>32.01</v>
      </c>
    </row>
    <row r="628">
      <c r="A628" s="2" t="n"/>
      <c r="B628" s="74" t="inlineStr">
        <is>
          <t xml:space="preserve">合計 </t>
        </is>
      </c>
      <c r="C628" s="73">
        <f>SUM(C626:C627)</f>
        <v/>
      </c>
    </row>
    <row r="629">
      <c r="A629" s="2" t="n"/>
      <c r="B629" s="74" t="inlineStr">
        <is>
          <t>核驗</t>
        </is>
      </c>
      <c r="C629" s="73">
        <f>+B627-B625</f>
        <v/>
      </c>
    </row>
    <row r="630">
      <c r="A630" s="5" t="n"/>
      <c r="B630" s="71" t="n"/>
      <c r="C630" s="43" t="n"/>
    </row>
    <row r="631">
      <c r="A631" s="43" t="inlineStr">
        <is>
          <t>2026.04.29當沖</t>
        </is>
      </c>
      <c r="B631" s="74" t="inlineStr">
        <is>
          <t>買</t>
        </is>
      </c>
      <c r="C631" s="74">
        <f>SUMIF(A626:A627,"&lt;0")</f>
        <v/>
      </c>
    </row>
    <row r="632">
      <c r="A632" s="43">
        <f>"SPY " &amp; COUNT(C626:C627) * 100 &amp; "股"</f>
        <v/>
      </c>
      <c r="B632" s="74" t="inlineStr">
        <is>
          <t>賣</t>
        </is>
      </c>
      <c r="C632" s="74">
        <f>SUMIF(A626:A627,"&gt;0")</f>
        <v/>
      </c>
    </row>
    <row r="633" ht="17.25" customHeight="1" s="67" thickBot="1">
      <c r="A633" s="70" t="n"/>
      <c r="B633" s="74" t="inlineStr">
        <is>
          <t>當日損益</t>
        </is>
      </c>
      <c r="C633" s="75">
        <f>+C631+C632</f>
        <v/>
      </c>
    </row>
    <row r="634" ht="17.25" customHeight="1" s="67" thickTop="1">
      <c r="A634" s="70" t="n"/>
      <c r="B634" s="74" t="inlineStr">
        <is>
          <t>當日損益 %</t>
        </is>
      </c>
      <c r="C634" s="36">
        <f>C633/ABS(C631)</f>
        <v/>
      </c>
    </row>
    <row r="635">
      <c r="A635" s="5" t="n"/>
      <c r="B635" s="43" t="n"/>
      <c r="C635" s="43" t="n"/>
    </row>
    <row r="636">
      <c r="A636" s="43" t="inlineStr">
        <is>
          <t>累積留倉   200股</t>
        </is>
      </c>
      <c r="B636" s="43" t="n"/>
      <c r="C636" s="43" t="n"/>
    </row>
    <row r="637">
      <c r="A637" s="43" t="inlineStr">
        <is>
          <t>2026.04.28 留倉</t>
        </is>
      </c>
      <c r="B637" s="43" t="inlineStr">
        <is>
          <t>買 100股</t>
        </is>
      </c>
      <c r="C637" s="74">
        <f>C621</f>
        <v/>
      </c>
    </row>
    <row r="638">
      <c r="A638" s="43" t="inlineStr">
        <is>
          <t>2026.04.28 留倉</t>
        </is>
      </c>
      <c r="B638" s="43" t="inlineStr">
        <is>
          <t>買 100股</t>
        </is>
      </c>
      <c r="C638" s="74">
        <f>C622</f>
        <v/>
      </c>
    </row>
    <row r="639">
      <c r="A639" s="5" t="n"/>
      <c r="B639" s="43" t="n"/>
      <c r="C639" s="43" t="n"/>
    </row>
    <row r="640">
      <c r="A640" s="5" t="n"/>
      <c r="B640" s="43" t="n"/>
      <c r="C640" s="43" t="n"/>
    </row>
    <row r="641" ht="30" customHeight="1" s="67">
      <c r="A641" s="70" t="inlineStr">
        <is>
          <t>2026.04.30</t>
        </is>
      </c>
      <c r="B641" s="71" t="n">
        <v>-181432.03</v>
      </c>
      <c r="C641" s="72" t="inlineStr">
        <is>
          <t>損益</t>
        </is>
      </c>
    </row>
    <row r="642">
      <c r="A642" s="2" t="n">
        <v>71465.51999999999</v>
      </c>
      <c r="B642" s="71">
        <f>+B641+A642</f>
        <v/>
      </c>
      <c r="C642" s="14" t="n">
        <v>260.52</v>
      </c>
    </row>
    <row r="643">
      <c r="A643" s="2" t="n">
        <v>71416.00999999999</v>
      </c>
      <c r="B643" s="71">
        <f>+B642+A643</f>
        <v/>
      </c>
      <c r="C643" s="14" t="n">
        <v>175.63</v>
      </c>
    </row>
    <row r="644">
      <c r="A644" s="2" t="n">
        <v>-71439.34</v>
      </c>
      <c r="B644" s="71">
        <f>+B643+A644</f>
        <v/>
      </c>
      <c r="C644" s="13" t="n"/>
    </row>
    <row r="645">
      <c r="A645" s="2" t="n">
        <v>71430.50999999999</v>
      </c>
      <c r="B645" s="71">
        <f>+B644+A645</f>
        <v/>
      </c>
      <c r="C645" s="15" t="n">
        <v>-8.83</v>
      </c>
    </row>
    <row r="646">
      <c r="A646" s="2" t="n"/>
      <c r="B646" s="74" t="inlineStr">
        <is>
          <t xml:space="preserve">合計 </t>
        </is>
      </c>
      <c r="C646" s="73">
        <f>SUM(C644:C645)</f>
        <v/>
      </c>
    </row>
    <row r="647">
      <c r="A647" s="2" t="n"/>
      <c r="B647" s="74" t="inlineStr">
        <is>
          <t>核驗</t>
        </is>
      </c>
      <c r="C647" s="73">
        <f>+B645-B643</f>
        <v/>
      </c>
    </row>
    <row r="648">
      <c r="A648" s="5" t="n"/>
      <c r="B648" s="71" t="n"/>
      <c r="C648" s="43" t="n"/>
    </row>
    <row r="649">
      <c r="A649" s="43" t="inlineStr">
        <is>
          <t>2026.04.30當沖</t>
        </is>
      </c>
      <c r="B649" s="74" t="inlineStr">
        <is>
          <t>買</t>
        </is>
      </c>
      <c r="C649" s="74">
        <f>SUMIF(A644:A645,"&lt;0")</f>
        <v/>
      </c>
    </row>
    <row r="650">
      <c r="A650" s="43">
        <f>"SPY " &amp; COUNT(C644:C645) * 100 &amp; "股"</f>
        <v/>
      </c>
      <c r="B650" s="74" t="inlineStr">
        <is>
          <t>賣</t>
        </is>
      </c>
      <c r="C650" s="74">
        <f>SUMIF(A644:A645,"&gt;0")</f>
        <v/>
      </c>
    </row>
    <row r="651" ht="17.25" customHeight="1" s="67" thickBot="1">
      <c r="A651" s="70" t="n"/>
      <c r="B651" s="74" t="inlineStr">
        <is>
          <t>當日損益</t>
        </is>
      </c>
      <c r="C651" s="75">
        <f>+C649+C650</f>
        <v/>
      </c>
    </row>
    <row r="652" ht="17.25" customHeight="1" s="67" thickTop="1">
      <c r="A652" s="70" t="n"/>
      <c r="B652" s="74" t="inlineStr">
        <is>
          <t>當日損益 %</t>
        </is>
      </c>
      <c r="C652" s="36">
        <f>C651/ABS(C649)</f>
        <v/>
      </c>
    </row>
    <row r="653">
      <c r="A653" s="5" t="n"/>
      <c r="B653" s="43" t="n"/>
      <c r="C653" s="43" t="n"/>
    </row>
    <row r="654">
      <c r="A654" s="5" t="n"/>
      <c r="B654" s="43" t="n"/>
      <c r="C654" s="43" t="n"/>
    </row>
    <row r="655">
      <c r="A655" s="43" t="inlineStr">
        <is>
          <t>2026.04.28買入</t>
        </is>
      </c>
      <c r="B655" s="74" t="inlineStr">
        <is>
          <t>100股</t>
        </is>
      </c>
      <c r="C655" s="74">
        <f>C638</f>
        <v/>
      </c>
    </row>
    <row r="656">
      <c r="A656" s="43" t="inlineStr">
        <is>
          <t>2026.04.30平倉</t>
        </is>
      </c>
      <c r="B656" s="74" t="inlineStr">
        <is>
          <t>100股</t>
        </is>
      </c>
      <c r="C656" s="74">
        <f>A642</f>
        <v/>
      </c>
    </row>
    <row r="657" ht="17.25" customHeight="1" s="67" thickBot="1">
      <c r="A657" s="70" t="n"/>
      <c r="B657" s="74" t="inlineStr">
        <is>
          <t>當日損益</t>
        </is>
      </c>
      <c r="C657" s="75">
        <f>+C655+C656</f>
        <v/>
      </c>
    </row>
    <row r="658" ht="17.25" customHeight="1" s="67" thickTop="1">
      <c r="A658" s="70" t="n"/>
      <c r="B658" s="74" t="inlineStr">
        <is>
          <t>當日損益 %</t>
        </is>
      </c>
      <c r="C658" s="36">
        <f>C657/ABS(C655)</f>
        <v/>
      </c>
    </row>
    <row r="659">
      <c r="A659" s="43" t="n"/>
      <c r="B659" s="43" t="n"/>
      <c r="C659" s="43" t="n"/>
    </row>
    <row r="660">
      <c r="A660" s="43" t="inlineStr">
        <is>
          <t>2026.04.28買入</t>
        </is>
      </c>
      <c r="B660" s="74" t="inlineStr">
        <is>
          <t>100股</t>
        </is>
      </c>
      <c r="C660" s="74">
        <f>C637</f>
        <v/>
      </c>
    </row>
    <row r="661">
      <c r="A661" s="43" t="inlineStr">
        <is>
          <t>2026.04.30平倉</t>
        </is>
      </c>
      <c r="B661" s="74" t="inlineStr">
        <is>
          <t>100股</t>
        </is>
      </c>
      <c r="C661" s="74">
        <f>A643</f>
        <v/>
      </c>
    </row>
    <row r="662" ht="17.25" customHeight="1" s="67" thickBot="1">
      <c r="A662" s="70" t="n"/>
      <c r="B662" s="74" t="inlineStr">
        <is>
          <t>當日損益</t>
        </is>
      </c>
      <c r="C662" s="75">
        <f>+C660+C661</f>
        <v/>
      </c>
    </row>
    <row r="663" ht="17.25" customHeight="1" s="67" thickTop="1">
      <c r="A663" s="70" t="n"/>
      <c r="B663" s="74" t="inlineStr">
        <is>
          <t>當日損益 %</t>
        </is>
      </c>
      <c r="C663" s="36">
        <f>C662/ABS(C660)</f>
        <v/>
      </c>
    </row>
    <row r="664">
      <c r="A664" s="5" t="n"/>
      <c r="B664" s="43" t="n"/>
      <c r="C664" s="43" t="n"/>
    </row>
    <row r="665">
      <c r="A665" s="5" t="n"/>
      <c r="B665" s="43" t="n"/>
      <c r="C665" s="43" t="n"/>
    </row>
    <row r="666" ht="30" customHeight="1" s="67">
      <c r="A666" s="70" t="inlineStr">
        <is>
          <t>2026.05.01</t>
        </is>
      </c>
      <c r="B666" s="71" t="n">
        <v>-38559.33</v>
      </c>
      <c r="C666" s="72" t="inlineStr">
        <is>
          <t>損益</t>
        </is>
      </c>
    </row>
    <row r="667">
      <c r="A667" s="2" t="n">
        <v>-72317.85000000001</v>
      </c>
      <c r="B667" s="71">
        <f>+B666+A667</f>
        <v/>
      </c>
      <c r="C667" s="13" t="n"/>
    </row>
    <row r="668">
      <c r="A668" s="2" t="n">
        <v>72320.99000000001</v>
      </c>
      <c r="B668" s="71">
        <f>+B667+A668</f>
        <v/>
      </c>
      <c r="C668" s="14" t="n">
        <v>3.14</v>
      </c>
    </row>
    <row r="669">
      <c r="A669" s="2" t="n">
        <v>-72341</v>
      </c>
      <c r="B669" s="71">
        <f>+B668+A669</f>
        <v/>
      </c>
      <c r="C669" s="13" t="n"/>
    </row>
    <row r="670">
      <c r="A670" s="2" t="n">
        <v>2893.56</v>
      </c>
      <c r="B670" s="71">
        <f>+B669+A670</f>
        <v/>
      </c>
      <c r="C670" s="13" t="n"/>
    </row>
    <row r="671">
      <c r="A671" s="2" t="n">
        <v>69445.05</v>
      </c>
      <c r="B671" s="71">
        <f>+B670+A671</f>
        <v/>
      </c>
      <c r="C671" s="15" t="n">
        <v>-2.39</v>
      </c>
    </row>
    <row r="672">
      <c r="A672" s="2" t="n">
        <v>-72220</v>
      </c>
      <c r="B672" s="71">
        <f>+B671+A672</f>
        <v/>
      </c>
      <c r="C672" s="13" t="n"/>
    </row>
    <row r="673">
      <c r="A673" s="2" t="n">
        <v>72248.40000000001</v>
      </c>
      <c r="B673" s="71">
        <f>+B672+A673</f>
        <v/>
      </c>
      <c r="C673" s="14" t="n">
        <v>28.4</v>
      </c>
    </row>
    <row r="674">
      <c r="A674" s="2" t="n"/>
      <c r="B674" s="74" t="inlineStr">
        <is>
          <t xml:space="preserve">合計 </t>
        </is>
      </c>
      <c r="C674" s="73">
        <f>SUM(C667:C673)</f>
        <v/>
      </c>
    </row>
    <row r="675">
      <c r="A675" s="2" t="n"/>
      <c r="B675" s="74" t="inlineStr">
        <is>
          <t>核驗</t>
        </is>
      </c>
      <c r="C675" s="73">
        <f>+B673-B666</f>
        <v/>
      </c>
    </row>
    <row r="676">
      <c r="A676" s="5" t="n"/>
      <c r="B676" s="71" t="n"/>
      <c r="C676" s="43" t="n"/>
    </row>
    <row r="677">
      <c r="A677" s="43" t="inlineStr">
        <is>
          <t>2026.04.30當沖</t>
        </is>
      </c>
      <c r="B677" s="74" t="inlineStr">
        <is>
          <t>買</t>
        </is>
      </c>
      <c r="C677" s="74">
        <f>SUMIF(A667:A673,"&lt;0")</f>
        <v/>
      </c>
    </row>
    <row r="678">
      <c r="A678" s="43">
        <f>"SPY " &amp; COUNT(C667:C673) * 100 &amp; "股"</f>
        <v/>
      </c>
      <c r="B678" s="74" t="inlineStr">
        <is>
          <t>賣</t>
        </is>
      </c>
      <c r="C678" s="74">
        <f>SUMIF(A667:A673,"&gt;0")</f>
        <v/>
      </c>
    </row>
    <row r="679" ht="17.25" customHeight="1" s="67" thickBot="1">
      <c r="A679" s="70" t="n"/>
      <c r="B679" s="74" t="inlineStr">
        <is>
          <t>當日損益</t>
        </is>
      </c>
      <c r="C679" s="75">
        <f>+C677+C678</f>
        <v/>
      </c>
    </row>
    <row r="680" ht="17.25" customHeight="1" s="67" thickTop="1">
      <c r="A680" s="70" t="n"/>
      <c r="B680" s="74" t="inlineStr">
        <is>
          <t>當日損益 %</t>
        </is>
      </c>
      <c r="C680" s="36">
        <f>C679/ABS(C677)</f>
        <v/>
      </c>
    </row>
    <row r="681">
      <c r="A681" s="5" t="n"/>
      <c r="B681" s="43" t="n"/>
      <c r="C681" s="43" t="n"/>
    </row>
    <row r="682">
      <c r="A682" s="5" t="n"/>
      <c r="B682" s="43" t="n"/>
      <c r="C682" s="43" t="n"/>
    </row>
    <row r="683">
      <c r="A683" s="5" t="n"/>
      <c r="B683" s="43" t="n"/>
      <c r="C683" s="43" t="n"/>
    </row>
    <row r="684">
      <c r="A684" s="5" t="n"/>
      <c r="B684" s="43" t="n"/>
      <c r="C684" s="43" t="n"/>
    </row>
    <row r="685" ht="30" customHeight="1" s="67">
      <c r="A685" s="70" t="inlineStr">
        <is>
          <t>2026.05.04</t>
        </is>
      </c>
      <c r="B685" s="2" t="n">
        <v>103769.7</v>
      </c>
      <c r="C685" s="72" t="inlineStr">
        <is>
          <t>損益</t>
        </is>
      </c>
    </row>
    <row r="686">
      <c r="A686" s="2" t="n">
        <v>72035.5</v>
      </c>
      <c r="B686" s="71">
        <f>+B685+A686</f>
        <v/>
      </c>
      <c r="C686" s="43" t="n"/>
    </row>
    <row r="687">
      <c r="A687" s="2" t="n">
        <v>-72099.42999999999</v>
      </c>
      <c r="B687" s="71">
        <f>+B686+A687</f>
        <v/>
      </c>
      <c r="C687" s="15" t="n">
        <v>-63.93</v>
      </c>
    </row>
    <row r="688">
      <c r="A688" s="2" t="n">
        <v>72125.5</v>
      </c>
      <c r="B688" s="71">
        <f>+B687+A688</f>
        <v/>
      </c>
      <c r="C688" s="13" t="n"/>
    </row>
    <row r="689">
      <c r="A689" s="2" t="n">
        <v>-72137</v>
      </c>
      <c r="B689" s="71">
        <f>+B688+A689</f>
        <v/>
      </c>
      <c r="C689" s="15" t="n">
        <v>-11.5</v>
      </c>
    </row>
    <row r="690">
      <c r="A690" s="2" t="n">
        <v>72122.59000000001</v>
      </c>
      <c r="B690" s="71">
        <f>+B689+A690</f>
        <v/>
      </c>
      <c r="C690" s="13" t="n"/>
    </row>
    <row r="691">
      <c r="A691" s="2" t="n">
        <v>-72184</v>
      </c>
      <c r="B691" s="71">
        <f>+B690+A691</f>
        <v/>
      </c>
      <c r="C691" s="15" t="n">
        <v>-61.41</v>
      </c>
    </row>
    <row r="692">
      <c r="A692" s="2" t="n">
        <v>-72197.5</v>
      </c>
      <c r="B692" s="71">
        <f>+B691+A692</f>
        <v/>
      </c>
      <c r="C692" s="13" t="n"/>
    </row>
    <row r="693">
      <c r="A693" s="2" t="n">
        <v>14439.3</v>
      </c>
      <c r="B693" s="71">
        <f>+B692+A693</f>
        <v/>
      </c>
      <c r="C693" s="13" t="n"/>
    </row>
    <row r="694">
      <c r="A694" s="2" t="n">
        <v>57756.79</v>
      </c>
      <c r="B694" s="71">
        <f>+B693+A694</f>
        <v/>
      </c>
      <c r="C694" s="15" t="n">
        <v>-1.41</v>
      </c>
    </row>
    <row r="695">
      <c r="A695" s="2" t="n">
        <v>-43998.38</v>
      </c>
      <c r="B695" s="71">
        <f>+B694+A695</f>
        <v/>
      </c>
      <c r="C695" s="13" t="n"/>
    </row>
    <row r="696">
      <c r="A696" s="2" t="n">
        <v>-28130.11</v>
      </c>
      <c r="B696" s="71">
        <f>+B695+A696</f>
        <v/>
      </c>
      <c r="C696" s="13" t="n"/>
    </row>
    <row r="697">
      <c r="A697" s="2" t="n">
        <v>-28814</v>
      </c>
      <c r="B697" s="71">
        <f>+B696+A697</f>
        <v/>
      </c>
      <c r="C697" s="13" t="n"/>
    </row>
    <row r="698">
      <c r="A698" s="2" t="n">
        <v>-43220.99</v>
      </c>
      <c r="B698" s="71">
        <f>+B697+A698</f>
        <v/>
      </c>
      <c r="C698" s="13" t="n"/>
    </row>
    <row r="699">
      <c r="A699" s="2" t="n">
        <v>-71790.41</v>
      </c>
      <c r="B699" s="71">
        <f>+B698+A699</f>
        <v/>
      </c>
      <c r="C699" s="13" t="n"/>
    </row>
    <row r="700">
      <c r="A700" s="2" t="n">
        <v>71834.50999999999</v>
      </c>
      <c r="B700" s="71">
        <f>+B699+A700</f>
        <v/>
      </c>
      <c r="C700" s="14" t="n">
        <v>44.1</v>
      </c>
    </row>
    <row r="701">
      <c r="A701" s="2" t="n">
        <v>-71822</v>
      </c>
      <c r="B701" s="71">
        <f>+B700+A701</f>
        <v/>
      </c>
      <c r="C701" s="13" t="n"/>
    </row>
    <row r="702">
      <c r="A702" s="2" t="n">
        <v>28727.8</v>
      </c>
      <c r="B702" s="71">
        <f>+B701+A702</f>
        <v/>
      </c>
      <c r="C702" s="13" t="n"/>
    </row>
    <row r="703">
      <c r="A703" s="2" t="n">
        <v>43090.56</v>
      </c>
      <c r="B703" s="71">
        <f>+B702+A703</f>
        <v/>
      </c>
      <c r="C703" s="15" t="n">
        <v>-3.64</v>
      </c>
    </row>
    <row r="704">
      <c r="A704" s="2" t="n">
        <v>-71774.55</v>
      </c>
      <c r="B704" s="71">
        <f>+B703+A704</f>
        <v/>
      </c>
      <c r="C704" s="13" t="n"/>
    </row>
    <row r="705">
      <c r="A705" s="2" t="n">
        <v>71793.58</v>
      </c>
      <c r="B705" s="71">
        <f>+B704+A705</f>
        <v/>
      </c>
      <c r="C705" s="14" t="n">
        <v>19.03</v>
      </c>
    </row>
    <row r="706">
      <c r="A706" s="2" t="n"/>
      <c r="B706" s="74" t="inlineStr">
        <is>
          <t xml:space="preserve">合計 </t>
        </is>
      </c>
      <c r="C706" s="73">
        <f>SUM(C686:C705)</f>
        <v/>
      </c>
    </row>
    <row r="707">
      <c r="A707" s="2" t="n"/>
      <c r="B707" s="74" t="inlineStr">
        <is>
          <t>核驗</t>
        </is>
      </c>
      <c r="C707" s="73">
        <f>+B705-B685+B694-B698</f>
        <v/>
      </c>
    </row>
    <row r="708">
      <c r="A708" s="5" t="n"/>
      <c r="B708" s="71" t="n"/>
      <c r="C708" s="43" t="n"/>
    </row>
    <row r="709">
      <c r="A709" s="43" t="inlineStr">
        <is>
          <t>2026.05.04當沖</t>
        </is>
      </c>
      <c r="B709" s="74" t="inlineStr">
        <is>
          <t>買</t>
        </is>
      </c>
      <c r="C709" s="74">
        <f>SUMIF(A686:A705,"&lt;0")-A695-A696-A697-A698</f>
        <v/>
      </c>
    </row>
    <row r="710">
      <c r="A710" s="43">
        <f>"SPY " &amp; COUNT(C686:C705) * 100 &amp; "股"</f>
        <v/>
      </c>
      <c r="B710" s="74" t="inlineStr">
        <is>
          <t>賣</t>
        </is>
      </c>
      <c r="C710" s="74">
        <f>SUMIF(A686:A705,"&gt;0")</f>
        <v/>
      </c>
    </row>
    <row r="711" ht="17.25" customHeight="1" s="67" thickBot="1">
      <c r="A711" s="70" t="n"/>
      <c r="B711" s="74" t="inlineStr">
        <is>
          <t>當日損益</t>
        </is>
      </c>
      <c r="C711" s="75">
        <f>+C709+C710</f>
        <v/>
      </c>
    </row>
    <row r="712" ht="17.25" customHeight="1" s="67" thickTop="1">
      <c r="A712" s="70" t="n"/>
      <c r="B712" s="74" t="inlineStr">
        <is>
          <t>當日損益 %</t>
        </is>
      </c>
      <c r="C712" s="36">
        <f>C711/ABS(C709)</f>
        <v/>
      </c>
    </row>
    <row r="713">
      <c r="A713" s="5" t="n"/>
      <c r="B713" s="43" t="n"/>
      <c r="C713" s="43" t="n"/>
    </row>
    <row r="714">
      <c r="A714" s="43" t="inlineStr">
        <is>
          <t>累積留倉   200股</t>
        </is>
      </c>
      <c r="B714" s="43" t="n"/>
      <c r="C714" s="43" t="n"/>
    </row>
    <row r="715">
      <c r="A715" s="43" t="inlineStr">
        <is>
          <t>2026.05.04 留倉</t>
        </is>
      </c>
      <c r="B715" s="43" t="inlineStr">
        <is>
          <t>買 100股</t>
        </is>
      </c>
      <c r="C715" s="74">
        <f>A695+A696</f>
        <v/>
      </c>
    </row>
    <row r="716">
      <c r="A716" s="43" t="inlineStr">
        <is>
          <t>2026.05.04 留倉</t>
        </is>
      </c>
      <c r="B716" s="43" t="inlineStr">
        <is>
          <t>買 100股</t>
        </is>
      </c>
      <c r="C716" s="74">
        <f>A697+A698</f>
        <v/>
      </c>
    </row>
    <row r="717">
      <c r="A717" s="5" t="n"/>
      <c r="B717" s="43" t="n"/>
      <c r="C717" s="43" t="n"/>
    </row>
    <row r="718">
      <c r="A718" s="5" t="n"/>
      <c r="B718" s="43" t="n"/>
      <c r="C718" s="43" t="n"/>
    </row>
    <row r="719">
      <c r="A719" s="5" t="n"/>
      <c r="B719" s="43" t="n"/>
      <c r="C719" s="43" t="n"/>
    </row>
    <row r="720">
      <c r="A720" s="5" t="n"/>
      <c r="B720" s="43" t="n"/>
      <c r="C720" s="43" t="n"/>
    </row>
    <row r="721" ht="30" customHeight="1" s="67">
      <c r="A721" s="70" t="inlineStr">
        <is>
          <t>2026.05.04</t>
        </is>
      </c>
      <c r="B721" s="2" t="n">
        <v>103798.85</v>
      </c>
      <c r="C721" s="72" t="inlineStr">
        <is>
          <t>損益</t>
        </is>
      </c>
    </row>
    <row r="722">
      <c r="A722" s="2" t="n">
        <v>72261.49000000001</v>
      </c>
      <c r="B722" s="71">
        <f>+B721+A722</f>
        <v/>
      </c>
      <c r="C722" s="21" t="n">
        <v>226.5</v>
      </c>
    </row>
    <row r="723">
      <c r="A723" s="2" t="n">
        <v>11561.76</v>
      </c>
      <c r="B723" s="71">
        <f>+B722+A723</f>
        <v/>
      </c>
      <c r="C723" s="22" t="n"/>
    </row>
    <row r="724">
      <c r="A724" s="2" t="n">
        <v>60699.23</v>
      </c>
      <c r="B724" s="71">
        <f>+B723+A724</f>
        <v/>
      </c>
      <c r="C724" s="23" t="n">
        <v>132.5</v>
      </c>
    </row>
    <row r="725">
      <c r="A725" s="2" t="n">
        <v>-72357.5</v>
      </c>
      <c r="B725" s="71">
        <f>+B724+A725</f>
        <v/>
      </c>
      <c r="C725" s="13" t="n"/>
    </row>
    <row r="726">
      <c r="A726" s="2" t="n">
        <v>72360.55</v>
      </c>
      <c r="B726" s="71">
        <f>+B725+A726</f>
        <v/>
      </c>
      <c r="C726" s="14" t="n">
        <v>3.05</v>
      </c>
    </row>
    <row r="727">
      <c r="A727" s="2" t="n">
        <v>-28924.4</v>
      </c>
      <c r="B727" s="71">
        <f>+B726+A727</f>
        <v/>
      </c>
      <c r="C727" s="13" t="n"/>
    </row>
    <row r="728">
      <c r="A728" s="2" t="n">
        <v>-43386.6</v>
      </c>
      <c r="B728" s="71">
        <f>+B727+A728</f>
        <v/>
      </c>
      <c r="C728" s="13" t="n"/>
    </row>
    <row r="729">
      <c r="A729" s="2" t="n">
        <v>28926.59</v>
      </c>
      <c r="B729" s="71">
        <f>+B728+A729</f>
        <v/>
      </c>
      <c r="C729" s="13" t="n"/>
    </row>
    <row r="730">
      <c r="A730" s="2" t="n">
        <v>28926.2</v>
      </c>
      <c r="B730" s="71">
        <f>+B729+A730</f>
        <v/>
      </c>
      <c r="C730" s="13" t="n"/>
    </row>
    <row r="731">
      <c r="A731" s="2" t="n">
        <v>14463.32</v>
      </c>
      <c r="B731" s="71">
        <f>+B730+A731</f>
        <v/>
      </c>
      <c r="C731" s="14" t="n">
        <v>5.11</v>
      </c>
    </row>
    <row r="732">
      <c r="A732" s="2" t="n">
        <v>-35538</v>
      </c>
      <c r="B732" s="71">
        <f>+B731+A732</f>
        <v/>
      </c>
      <c r="C732" s="13" t="n"/>
    </row>
    <row r="733">
      <c r="A733" s="2" t="n">
        <v>35479.26</v>
      </c>
      <c r="B733" s="71">
        <f>+B732+A733</f>
        <v/>
      </c>
      <c r="C733" s="15" t="n">
        <v>-58.74</v>
      </c>
    </row>
    <row r="734">
      <c r="A734" s="2" t="n"/>
      <c r="B734" s="74" t="inlineStr">
        <is>
          <t xml:space="preserve">合計 </t>
        </is>
      </c>
      <c r="C734" s="73">
        <f>SUM(C725:C731)</f>
        <v/>
      </c>
    </row>
    <row r="735">
      <c r="A735" s="2" t="n"/>
      <c r="B735" s="74" t="inlineStr">
        <is>
          <t>核驗</t>
        </is>
      </c>
      <c r="C735" s="73">
        <f>+B731-B724</f>
        <v/>
      </c>
    </row>
    <row r="736">
      <c r="A736" s="5" t="n"/>
      <c r="B736" s="71" t="n"/>
      <c r="C736" s="43" t="n"/>
    </row>
    <row r="737">
      <c r="A737" s="43" t="inlineStr">
        <is>
          <t>2026.05.05當沖</t>
        </is>
      </c>
      <c r="B737" s="74" t="inlineStr">
        <is>
          <t>買</t>
        </is>
      </c>
      <c r="C737" s="74">
        <f>SUMIF(A725:A731,"&lt;0")</f>
        <v/>
      </c>
    </row>
    <row r="738">
      <c r="A738" s="43">
        <f>"SPY " &amp; COUNT(C725:C731) * 100 &amp; "股"</f>
        <v/>
      </c>
      <c r="B738" s="74" t="inlineStr">
        <is>
          <t>賣</t>
        </is>
      </c>
      <c r="C738" s="74">
        <f>SUMIF(A725:A731,"&gt;0")</f>
        <v/>
      </c>
    </row>
    <row r="739" ht="17.25" customHeight="1" s="67" thickBot="1">
      <c r="A739" s="70" t="n"/>
      <c r="B739" s="74" t="inlineStr">
        <is>
          <t>當日損益</t>
        </is>
      </c>
      <c r="C739" s="75">
        <f>+C737+C738</f>
        <v/>
      </c>
    </row>
    <row r="740" ht="17.25" customHeight="1" s="67" thickTop="1">
      <c r="A740" s="70" t="n"/>
      <c r="B740" s="74" t="inlineStr">
        <is>
          <t>當日損益 %</t>
        </is>
      </c>
      <c r="C740" s="36">
        <f>C739/ABS(C737)</f>
        <v/>
      </c>
    </row>
    <row r="741">
      <c r="A741" s="5" t="n"/>
      <c r="B741" s="43" t="n"/>
      <c r="C741" s="43" t="n"/>
    </row>
    <row r="742">
      <c r="A742" s="43" t="inlineStr">
        <is>
          <t>2026.05.04買入</t>
        </is>
      </c>
      <c r="B742" s="74" t="inlineStr">
        <is>
          <t>100股</t>
        </is>
      </c>
      <c r="C742" s="74">
        <f>C716</f>
        <v/>
      </c>
    </row>
    <row r="743">
      <c r="A743" s="43" t="inlineStr">
        <is>
          <t>2026.05.05平倉</t>
        </is>
      </c>
      <c r="B743" s="74" t="inlineStr">
        <is>
          <t>100股</t>
        </is>
      </c>
      <c r="C743" s="74">
        <f>A722</f>
        <v/>
      </c>
    </row>
    <row r="744" ht="17.25" customHeight="1" s="67" thickBot="1">
      <c r="A744" s="70" t="n"/>
      <c r="B744" s="74" t="inlineStr">
        <is>
          <t>平倉損益</t>
        </is>
      </c>
      <c r="C744" s="75">
        <f>+C742+C743</f>
        <v/>
      </c>
    </row>
    <row r="745" ht="17.25" customHeight="1" s="67" thickTop="1">
      <c r="A745" s="70" t="n"/>
      <c r="B745" s="74" t="inlineStr">
        <is>
          <t>平倉損益 %</t>
        </is>
      </c>
      <c r="C745" s="36">
        <f>C744/ABS(C742)</f>
        <v/>
      </c>
    </row>
    <row r="746">
      <c r="A746" s="43" t="n"/>
      <c r="B746" s="43" t="n"/>
      <c r="C746" s="43" t="n"/>
    </row>
    <row r="747">
      <c r="A747" s="43" t="inlineStr">
        <is>
          <t>2026.05.04買入</t>
        </is>
      </c>
      <c r="B747" s="74" t="inlineStr">
        <is>
          <t>100股</t>
        </is>
      </c>
      <c r="C747" s="74">
        <f>C715</f>
        <v/>
      </c>
    </row>
    <row r="748">
      <c r="A748" s="43" t="inlineStr">
        <is>
          <t>2026.05.05平倉</t>
        </is>
      </c>
      <c r="B748" s="74" t="inlineStr">
        <is>
          <t>100股</t>
        </is>
      </c>
      <c r="C748" s="74">
        <f>A723+A724</f>
        <v/>
      </c>
    </row>
    <row r="749" ht="17.25" customHeight="1" s="67" thickBot="1">
      <c r="A749" s="70" t="n"/>
      <c r="B749" s="74" t="inlineStr">
        <is>
          <t>平倉損益</t>
        </is>
      </c>
      <c r="C749" s="75">
        <f>+C747+C748</f>
        <v/>
      </c>
    </row>
    <row r="750" ht="17.25" customHeight="1" s="67" thickTop="1">
      <c r="A750" s="70" t="n"/>
      <c r="B750" s="74" t="inlineStr">
        <is>
          <t>平倉損益 %</t>
        </is>
      </c>
      <c r="C750" s="36">
        <f>C749/ABS(C747)</f>
        <v/>
      </c>
    </row>
    <row r="751">
      <c r="A751" s="5" t="n"/>
      <c r="B751" s="43" t="n"/>
      <c r="C751" s="43" t="n"/>
    </row>
    <row r="752">
      <c r="A752" s="43" t="inlineStr">
        <is>
          <t>2026.05.05 當沖</t>
        </is>
      </c>
      <c r="B752" s="74" t="inlineStr">
        <is>
          <t>買</t>
        </is>
      </c>
      <c r="C752" s="74">
        <f>A732</f>
        <v/>
      </c>
    </row>
    <row r="753">
      <c r="A753" s="43">
        <f>"AMD " &amp; COUNT(C741:C742) * 100 &amp; "股"</f>
        <v/>
      </c>
      <c r="B753" s="74" t="inlineStr">
        <is>
          <t>賣</t>
        </is>
      </c>
      <c r="C753" s="74">
        <f>A733</f>
        <v/>
      </c>
    </row>
    <row r="754" ht="17.25" customHeight="1" s="67" thickBot="1">
      <c r="A754" s="70" t="n"/>
      <c r="B754" s="74" t="inlineStr">
        <is>
          <t>當日損益</t>
        </is>
      </c>
      <c r="C754" s="75">
        <f>+C752+C753</f>
        <v/>
      </c>
    </row>
    <row r="755" ht="17.25" customHeight="1" s="67" thickTop="1">
      <c r="A755" s="70" t="n"/>
      <c r="B755" s="74" t="inlineStr">
        <is>
          <t>當日損益 %</t>
        </is>
      </c>
      <c r="C755" s="36">
        <f>C754/ABS(C752)</f>
        <v/>
      </c>
    </row>
    <row r="756">
      <c r="A756" s="5" t="n"/>
      <c r="B756" s="43" t="n"/>
      <c r="C756" s="43" t="n"/>
    </row>
    <row r="757">
      <c r="A757" s="5" t="n"/>
      <c r="B757" s="43" t="n"/>
      <c r="C757" s="43" t="n"/>
    </row>
    <row r="758">
      <c r="A758" s="5" t="n"/>
      <c r="B758" s="43" t="n"/>
      <c r="C758" s="43" t="n"/>
    </row>
    <row r="759" ht="30" customHeight="1" s="67">
      <c r="A759" s="70" t="inlineStr">
        <is>
          <t>2026.05.06</t>
        </is>
      </c>
      <c r="B759" s="43" t="n"/>
      <c r="C759" s="43" t="n"/>
    </row>
    <row r="760">
      <c r="A760" s="12" t="inlineStr">
        <is>
          <t>無當沖</t>
        </is>
      </c>
      <c r="B760" s="43" t="n"/>
      <c r="C760" s="43" t="n"/>
    </row>
    <row r="761">
      <c r="A761" s="5" t="n"/>
      <c r="B761" s="43" t="n"/>
      <c r="C761" s="43" t="n"/>
    </row>
    <row r="762">
      <c r="A762" s="5" t="n"/>
      <c r="B762" s="43" t="n"/>
      <c r="C762" s="43" t="n"/>
    </row>
    <row r="763">
      <c r="A763" s="5" t="n"/>
      <c r="B763" s="43" t="n"/>
      <c r="C763" s="43" t="n"/>
    </row>
    <row r="764">
      <c r="A764" s="5" t="n"/>
      <c r="B764" s="43" t="n"/>
      <c r="C764" s="43" t="n"/>
    </row>
    <row r="765">
      <c r="A765" s="5" t="n"/>
      <c r="B765" s="43" t="n"/>
      <c r="C765" s="43" t="n"/>
    </row>
    <row r="766" ht="30" customHeight="1" s="67">
      <c r="A766" s="70" t="inlineStr">
        <is>
          <t>2026.05.07</t>
        </is>
      </c>
      <c r="B766" s="2" t="n">
        <v>104028.51</v>
      </c>
      <c r="C766" s="72" t="inlineStr">
        <is>
          <t>損益</t>
        </is>
      </c>
    </row>
    <row r="767">
      <c r="A767" s="24" t="n">
        <v>-29373.2</v>
      </c>
      <c r="B767" s="71">
        <f>+B766+A767</f>
        <v/>
      </c>
      <c r="C767" s="43" t="n"/>
    </row>
    <row r="768">
      <c r="A768" s="24" t="n">
        <v>-44059.8</v>
      </c>
      <c r="B768" s="71">
        <f>+B767+A768</f>
        <v/>
      </c>
      <c r="C768" s="43" t="n"/>
    </row>
    <row r="769">
      <c r="A769" s="24" t="n">
        <v>73473.61</v>
      </c>
      <c r="B769" s="71">
        <f>+B768+A769</f>
        <v/>
      </c>
      <c r="C769" s="43" t="n">
        <v>40.61</v>
      </c>
    </row>
    <row r="770">
      <c r="A770" s="24" t="n">
        <v>-36739.25</v>
      </c>
      <c r="B770" s="71">
        <f>+B769+A770</f>
        <v/>
      </c>
      <c r="C770" s="43" t="n"/>
    </row>
    <row r="771">
      <c r="A771" s="24" t="n">
        <v>-36739.25</v>
      </c>
      <c r="B771" s="71">
        <f>+B770+A771</f>
        <v/>
      </c>
      <c r="C771" s="43" t="n"/>
    </row>
    <row r="772">
      <c r="A772" s="24" t="n">
        <v>2939.12</v>
      </c>
      <c r="B772" s="71">
        <f>+B771+A772</f>
        <v/>
      </c>
      <c r="C772" s="43" t="n"/>
    </row>
    <row r="773">
      <c r="A773" s="24" t="n">
        <v>70538.86</v>
      </c>
      <c r="B773" s="71">
        <f>+B772+A773</f>
        <v/>
      </c>
      <c r="C773" s="43" t="n">
        <v>-0.52</v>
      </c>
    </row>
    <row r="774">
      <c r="A774" s="24" t="n">
        <v>-29409.2</v>
      </c>
      <c r="B774" s="71">
        <f>+B773+A774</f>
        <v/>
      </c>
      <c r="C774" s="43" t="n"/>
    </row>
    <row r="775">
      <c r="A775" s="24" t="n">
        <v>-44113.79</v>
      </c>
      <c r="B775" s="71">
        <f>+B774+A775</f>
        <v/>
      </c>
      <c r="C775" s="43" t="n"/>
    </row>
    <row r="776">
      <c r="A776" s="24" t="n">
        <v>73543.96000000001</v>
      </c>
      <c r="B776" s="71">
        <f>+B775+A776</f>
        <v/>
      </c>
      <c r="C776" s="43" t="n">
        <v>20.97</v>
      </c>
    </row>
    <row r="777">
      <c r="A777" s="24" t="n">
        <v>-73550.99000000001</v>
      </c>
      <c r="B777" s="71">
        <f>+B776+A777</f>
        <v/>
      </c>
      <c r="C777" s="43" t="n"/>
    </row>
    <row r="778">
      <c r="A778" s="2" t="n">
        <v>-43913.99</v>
      </c>
      <c r="B778" s="71">
        <f>+B777+A778</f>
        <v/>
      </c>
      <c r="C778" s="13" t="n"/>
    </row>
    <row r="779">
      <c r="A779" s="2" t="n">
        <v>-29276</v>
      </c>
      <c r="B779" s="71">
        <f>+B778+A779</f>
        <v/>
      </c>
      <c r="C779" s="13" t="n"/>
    </row>
    <row r="780">
      <c r="A780" s="2" t="n">
        <v>73367.47</v>
      </c>
      <c r="B780" s="71">
        <f>+B779+A780</f>
        <v/>
      </c>
      <c r="C780" s="14" t="n">
        <v>177.48</v>
      </c>
    </row>
    <row r="781">
      <c r="A781" s="2" t="n">
        <v>73367.47</v>
      </c>
      <c r="B781" s="71">
        <f>+B780+A781</f>
        <v/>
      </c>
      <c r="C781" s="15" t="n">
        <v>-183.52</v>
      </c>
    </row>
    <row r="782">
      <c r="A782" s="25" t="n">
        <v>-73257.5</v>
      </c>
      <c r="B782" s="80">
        <f>+B781+A782</f>
        <v/>
      </c>
      <c r="C782" s="26" t="n"/>
    </row>
    <row r="783">
      <c r="A783" s="2" t="n"/>
      <c r="B783" s="74" t="inlineStr">
        <is>
          <t xml:space="preserve">合計 </t>
        </is>
      </c>
      <c r="C783" s="73">
        <f>SUM(C767:C782)</f>
        <v/>
      </c>
    </row>
    <row r="784">
      <c r="A784" s="2" t="n"/>
      <c r="B784" s="74" t="inlineStr">
        <is>
          <t>核驗</t>
        </is>
      </c>
      <c r="C784" s="73">
        <f>+B781-B766</f>
        <v/>
      </c>
    </row>
    <row r="785">
      <c r="A785" s="5" t="n"/>
      <c r="B785" s="71" t="n"/>
      <c r="C785" s="43" t="n"/>
    </row>
    <row r="786">
      <c r="A786" s="43" t="inlineStr">
        <is>
          <t>2026.05.07當沖</t>
        </is>
      </c>
      <c r="B786" s="74" t="inlineStr">
        <is>
          <t>買</t>
        </is>
      </c>
      <c r="C786" s="74">
        <f>SUMIF(A767:A781,"&lt;0")</f>
        <v/>
      </c>
    </row>
    <row r="787">
      <c r="A787" s="43">
        <f>"SPY " &amp; COUNT(C767:C781) * 100 &amp; "股"</f>
        <v/>
      </c>
      <c r="B787" s="74" t="inlineStr">
        <is>
          <t>賣</t>
        </is>
      </c>
      <c r="C787" s="74">
        <f>SUMIF(A767:A781,"&gt;0")</f>
        <v/>
      </c>
    </row>
    <row r="788" ht="17.25" customHeight="1" s="67" thickBot="1">
      <c r="A788" s="70" t="n"/>
      <c r="B788" s="74" t="inlineStr">
        <is>
          <t>當日損益</t>
        </is>
      </c>
      <c r="C788" s="75">
        <f>+C786+C787</f>
        <v/>
      </c>
    </row>
    <row r="789" ht="17.25" customHeight="1" s="67" thickTop="1">
      <c r="A789" s="70" t="n"/>
      <c r="B789" s="74" t="inlineStr">
        <is>
          <t>當日損益 %</t>
        </is>
      </c>
      <c r="C789" s="36">
        <f>C788/ABS(C786)</f>
        <v/>
      </c>
    </row>
    <row r="790">
      <c r="A790" s="5" t="n"/>
      <c r="B790" s="43" t="n"/>
      <c r="C790" s="43" t="n"/>
    </row>
    <row r="791">
      <c r="A791" s="43" t="inlineStr">
        <is>
          <t>累積留倉   100股</t>
        </is>
      </c>
      <c r="B791" s="43" t="n"/>
      <c r="C791" s="43" t="n"/>
    </row>
    <row r="792">
      <c r="A792" s="43" t="inlineStr">
        <is>
          <t>2026.05.07 留倉</t>
        </is>
      </c>
      <c r="B792" s="43" t="inlineStr">
        <is>
          <t>買 100股</t>
        </is>
      </c>
      <c r="C792" s="74">
        <f>A782</f>
        <v/>
      </c>
    </row>
    <row r="793">
      <c r="A793" s="5" t="n"/>
      <c r="B793" s="43" t="n"/>
      <c r="C793" s="43" t="n"/>
    </row>
    <row r="794">
      <c r="A794" s="5" t="n"/>
      <c r="B794" s="43" t="n"/>
      <c r="C794" s="43" t="n"/>
    </row>
    <row r="795" ht="30" customHeight="1" s="67">
      <c r="A795" s="70" t="inlineStr">
        <is>
          <t>2026.05.08</t>
        </is>
      </c>
      <c r="B795" s="2" t="n">
        <v>104028.51</v>
      </c>
      <c r="C795" s="72" t="inlineStr">
        <is>
          <t>損益</t>
        </is>
      </c>
    </row>
    <row r="796">
      <c r="A796" s="27" t="n">
        <v>73514.97</v>
      </c>
      <c r="B796" s="81">
        <f>+B795+A796</f>
        <v/>
      </c>
      <c r="C796" s="28" t="n">
        <v>257.47</v>
      </c>
    </row>
    <row r="797">
      <c r="A797" s="24" t="n">
        <v>-73517</v>
      </c>
      <c r="B797" s="71">
        <f>+B796+A797</f>
        <v/>
      </c>
      <c r="C797" s="43" t="n"/>
    </row>
    <row r="798">
      <c r="A798" s="24" t="n">
        <v>67724.89999999999</v>
      </c>
      <c r="B798" s="71">
        <f>+B797+A798</f>
        <v/>
      </c>
      <c r="C798" s="43" t="n"/>
    </row>
    <row r="799">
      <c r="A799" s="24" t="n">
        <v>5889.12</v>
      </c>
      <c r="B799" s="71">
        <f>+B798+A799</f>
        <v/>
      </c>
      <c r="C799" s="43" t="n">
        <v>97.02</v>
      </c>
    </row>
    <row r="800">
      <c r="A800" s="24" t="n">
        <v>-73668</v>
      </c>
      <c r="B800" s="71">
        <f>+B799+A800</f>
        <v/>
      </c>
      <c r="C800" s="43" t="n"/>
    </row>
    <row r="801">
      <c r="A801" s="24" t="n">
        <v>73716.46000000001</v>
      </c>
      <c r="B801" s="71">
        <f>+B800+A801</f>
        <v/>
      </c>
      <c r="C801" s="43" t="n">
        <v>48.46</v>
      </c>
    </row>
    <row r="802">
      <c r="A802" s="24" t="n">
        <v>-73716.72</v>
      </c>
      <c r="B802" s="71">
        <f>+B801+A802</f>
        <v/>
      </c>
      <c r="C802" s="43" t="n"/>
    </row>
    <row r="803">
      <c r="A803" s="24" t="n">
        <v>73721.96000000001</v>
      </c>
      <c r="B803" s="71">
        <f>+B802+A803</f>
        <v/>
      </c>
      <c r="C803" s="43" t="n">
        <v>5.24</v>
      </c>
    </row>
    <row r="804">
      <c r="A804" s="24" t="n">
        <v>-73674.5</v>
      </c>
      <c r="B804" s="71">
        <f>+B803+A804</f>
        <v/>
      </c>
      <c r="C804" s="43" t="n"/>
    </row>
    <row r="805">
      <c r="A805" s="24" t="n">
        <v>73638.75999999999</v>
      </c>
      <c r="B805" s="71">
        <f>+B804+A805</f>
        <v/>
      </c>
      <c r="C805" s="43" t="n">
        <v>-35.74</v>
      </c>
    </row>
    <row r="806">
      <c r="A806" s="24" t="n">
        <v>-73626</v>
      </c>
      <c r="B806" s="71">
        <f>+B805+A806</f>
        <v/>
      </c>
      <c r="C806" s="43" t="n"/>
    </row>
    <row r="807">
      <c r="A807" s="24" t="n">
        <v>73642.96000000001</v>
      </c>
      <c r="B807" s="71">
        <f>+B806+A807</f>
        <v/>
      </c>
      <c r="C807" s="43" t="n">
        <v>16.96</v>
      </c>
    </row>
    <row r="808">
      <c r="A808" s="24" t="n">
        <v>-73719.5</v>
      </c>
      <c r="B808" s="71">
        <f>+B807+A808</f>
        <v/>
      </c>
      <c r="C808" s="43" t="n"/>
    </row>
    <row r="809">
      <c r="A809" s="24" t="n">
        <v>44231.08</v>
      </c>
      <c r="B809" s="71">
        <f>+B808+A809</f>
        <v/>
      </c>
      <c r="C809" s="43" t="n"/>
    </row>
    <row r="810">
      <c r="A810" s="24" t="n">
        <v>29487.38</v>
      </c>
      <c r="B810" s="71">
        <f>+B809+A810</f>
        <v/>
      </c>
      <c r="C810" s="43" t="n">
        <v>-1.04</v>
      </c>
    </row>
    <row r="811">
      <c r="A811" s="2" t="n"/>
      <c r="B811" s="74" t="inlineStr">
        <is>
          <t xml:space="preserve">合計 </t>
        </is>
      </c>
      <c r="C811" s="73">
        <f>SUM(C799:C810)</f>
        <v/>
      </c>
    </row>
    <row r="812">
      <c r="A812" s="2" t="n"/>
      <c r="B812" s="74" t="inlineStr">
        <is>
          <t>核驗</t>
        </is>
      </c>
      <c r="C812" s="73">
        <f>+B810-B796</f>
        <v/>
      </c>
    </row>
    <row r="813">
      <c r="A813" s="5" t="n"/>
      <c r="B813" s="71" t="n"/>
      <c r="C813" s="43" t="n"/>
    </row>
    <row r="814">
      <c r="A814" s="43" t="inlineStr">
        <is>
          <t>2026.05.08當沖</t>
        </is>
      </c>
      <c r="B814" s="74" t="inlineStr">
        <is>
          <t>買</t>
        </is>
      </c>
      <c r="C814" s="74">
        <f>SUMIF(A795:A809,"&lt;0")</f>
        <v/>
      </c>
    </row>
    <row r="815">
      <c r="A815" s="43">
        <f>"SPY " &amp; COUNT(C799:C810) * 100 &amp; "股"</f>
        <v/>
      </c>
      <c r="B815" s="74" t="inlineStr">
        <is>
          <t>賣</t>
        </is>
      </c>
      <c r="C815" s="74">
        <f>SUMIF(A797:A810,"&gt;0")</f>
        <v/>
      </c>
    </row>
    <row r="816" ht="17.25" customHeight="1" s="67" thickBot="1">
      <c r="A816" s="70" t="n"/>
      <c r="B816" s="74" t="inlineStr">
        <is>
          <t>當日損益</t>
        </is>
      </c>
      <c r="C816" s="75">
        <f>+C814+C815</f>
        <v/>
      </c>
    </row>
    <row r="817" ht="17.25" customHeight="1" s="67" thickTop="1">
      <c r="A817" s="70" t="n"/>
      <c r="B817" s="74" t="inlineStr">
        <is>
          <t>當日損益 %</t>
        </is>
      </c>
      <c r="C817" s="36">
        <f>C816/ABS(C814)</f>
        <v/>
      </c>
    </row>
    <row r="818">
      <c r="A818" s="5" t="n"/>
      <c r="B818" s="43" t="n"/>
      <c r="C818" s="43" t="n"/>
    </row>
    <row r="819">
      <c r="A819" s="43" t="inlineStr">
        <is>
          <t>2026.05.07買入</t>
        </is>
      </c>
      <c r="B819" s="74" t="inlineStr">
        <is>
          <t>100股</t>
        </is>
      </c>
      <c r="C819" s="74">
        <f>C792</f>
        <v/>
      </c>
    </row>
    <row r="820">
      <c r="A820" s="43" t="inlineStr">
        <is>
          <t>2026.05.08平倉</t>
        </is>
      </c>
      <c r="B820" s="74" t="inlineStr">
        <is>
          <t>100股</t>
        </is>
      </c>
      <c r="C820" s="74">
        <f>A796</f>
        <v/>
      </c>
    </row>
    <row r="821" ht="17.25" customHeight="1" s="67" thickBot="1">
      <c r="A821" s="70" t="n"/>
      <c r="B821" s="74" t="inlineStr">
        <is>
          <t>平倉損益</t>
        </is>
      </c>
      <c r="C821" s="75">
        <f>+C819+C820</f>
        <v/>
      </c>
    </row>
    <row r="822" ht="17.25" customHeight="1" s="67" thickTop="1">
      <c r="A822" s="70" t="n"/>
      <c r="B822" s="74" t="inlineStr">
        <is>
          <t>平倉損益 %</t>
        </is>
      </c>
      <c r="C822" s="36">
        <f>C821/ABS(C819)</f>
        <v/>
      </c>
    </row>
    <row r="823">
      <c r="A823" s="5" t="n"/>
      <c r="B823" s="43" t="n"/>
      <c r="C823" s="43" t="n"/>
    </row>
    <row r="824">
      <c r="A824" s="5" t="n"/>
      <c r="B824" s="43" t="n"/>
      <c r="C824" s="43" t="n"/>
    </row>
    <row r="825" ht="30" customHeight="1" s="67">
      <c r="A825" s="70" t="inlineStr">
        <is>
          <t>2026.05.11</t>
        </is>
      </c>
      <c r="B825" s="2" t="n">
        <v>30826.03</v>
      </c>
      <c r="C825" s="72" t="inlineStr">
        <is>
          <t>損益</t>
        </is>
      </c>
    </row>
    <row r="826">
      <c r="A826" s="1" t="n">
        <v>-73947</v>
      </c>
      <c r="B826" s="71">
        <f>+B825+A826</f>
        <v/>
      </c>
      <c r="C826" s="13" t="n"/>
    </row>
    <row r="827">
      <c r="A827" s="2" t="n">
        <v>-73870</v>
      </c>
      <c r="B827" s="71">
        <f>+B826+A827</f>
        <v/>
      </c>
      <c r="C827" s="13" t="n"/>
    </row>
    <row r="828">
      <c r="A828" s="2" t="n">
        <v>29550.18</v>
      </c>
      <c r="B828" s="71">
        <f>+B827+A828</f>
        <v/>
      </c>
      <c r="C828" s="13" t="n"/>
    </row>
    <row r="829">
      <c r="A829" s="2" t="n">
        <v>44325.29</v>
      </c>
      <c r="B829" s="71">
        <f>+B828+A829</f>
        <v/>
      </c>
      <c r="C829" s="14" t="n">
        <v>5.47</v>
      </c>
    </row>
    <row r="830">
      <c r="A830" s="1" t="n">
        <v>44351.38</v>
      </c>
      <c r="B830" s="71">
        <f>+B829+A830</f>
        <v/>
      </c>
      <c r="C830" s="13" t="n"/>
    </row>
    <row r="831">
      <c r="A831" s="1" t="n">
        <v>29567.02</v>
      </c>
      <c r="B831" s="71">
        <f>+B830+A831</f>
        <v/>
      </c>
      <c r="C831" s="15" t="n">
        <v>-28.6</v>
      </c>
    </row>
    <row r="832">
      <c r="A832" s="2" t="n"/>
      <c r="B832" s="74" t="inlineStr">
        <is>
          <t xml:space="preserve">合計 </t>
        </is>
      </c>
      <c r="C832" s="73">
        <f>SUM(C820:C831)</f>
        <v/>
      </c>
    </row>
    <row r="833">
      <c r="A833" s="2" t="n"/>
      <c r="B833" s="74" t="inlineStr">
        <is>
          <t>核驗</t>
        </is>
      </c>
      <c r="C833" s="73">
        <f>+B831-B825</f>
        <v/>
      </c>
    </row>
    <row r="834">
      <c r="A834" s="5" t="n"/>
      <c r="B834" s="71" t="n"/>
      <c r="C834" s="43" t="n"/>
    </row>
    <row r="835">
      <c r="A835" s="43" t="inlineStr">
        <is>
          <t>2026.05.11當沖</t>
        </is>
      </c>
      <c r="B835" s="74" t="inlineStr">
        <is>
          <t>買</t>
        </is>
      </c>
      <c r="C835" s="74">
        <f>SUMIF(A826:A831,"&lt;0")</f>
        <v/>
      </c>
    </row>
    <row r="836">
      <c r="A836" s="43">
        <f>"SPY " &amp; COUNT(C826:C831) * 100 &amp; "股"</f>
        <v/>
      </c>
      <c r="B836" s="74" t="inlineStr">
        <is>
          <t>賣</t>
        </is>
      </c>
      <c r="C836" s="74">
        <f>SUMIF(A826:A831,"&gt;0")</f>
        <v/>
      </c>
    </row>
    <row r="837" ht="17.25" customHeight="1" s="67" thickBot="1">
      <c r="A837" s="70" t="n"/>
      <c r="B837" s="74" t="inlineStr">
        <is>
          <t>當日損益</t>
        </is>
      </c>
      <c r="C837" s="75">
        <f>+C835+C836</f>
        <v/>
      </c>
    </row>
    <row r="838" ht="17.25" customHeight="1" s="67" thickTop="1">
      <c r="A838" s="70" t="n"/>
      <c r="B838" s="74" t="inlineStr">
        <is>
          <t>當日損益 %</t>
        </is>
      </c>
      <c r="C838" s="36">
        <f>C837/ABS(C835)</f>
        <v/>
      </c>
    </row>
    <row r="839">
      <c r="A839" s="5" t="n"/>
      <c r="B839" s="43" t="n"/>
      <c r="C839" s="43" t="n"/>
    </row>
    <row r="840">
      <c r="A840" s="5" t="n"/>
      <c r="B840" s="43" t="n"/>
      <c r="C840" s="43" t="n"/>
    </row>
    <row r="841" ht="30" customHeight="1" s="67">
      <c r="A841" s="70" t="inlineStr">
        <is>
          <t>2026.05.12</t>
        </is>
      </c>
      <c r="B841" s="2" t="n">
        <v>104471.9</v>
      </c>
      <c r="C841" s="72" t="inlineStr">
        <is>
          <t>損益</t>
        </is>
      </c>
    </row>
    <row r="842">
      <c r="A842" s="24" t="n">
        <v>-73618</v>
      </c>
      <c r="B842" s="71">
        <f>+B841+A842</f>
        <v/>
      </c>
      <c r="C842" s="43" t="n"/>
    </row>
    <row r="843">
      <c r="A843" s="2" t="n">
        <v>-73530.42</v>
      </c>
      <c r="B843" s="71">
        <f>+B842+A843</f>
        <v/>
      </c>
      <c r="C843" s="43" t="n"/>
    </row>
    <row r="844">
      <c r="A844" s="2" t="n">
        <v>73612.45</v>
      </c>
      <c r="B844" s="71">
        <f>+B843+A844</f>
        <v/>
      </c>
      <c r="C844" s="43" t="n">
        <v>82.03</v>
      </c>
    </row>
    <row r="845">
      <c r="A845" s="24" t="n">
        <v>73621.46000000001</v>
      </c>
      <c r="B845" s="71">
        <f>+B844+A845</f>
        <v/>
      </c>
      <c r="C845" s="43" t="n">
        <v>3.46</v>
      </c>
    </row>
    <row r="846">
      <c r="A846" s="29" t="n">
        <v>-14711.8</v>
      </c>
      <c r="B846" s="79">
        <f>+B845+A846</f>
        <v/>
      </c>
      <c r="C846" s="30" t="n"/>
    </row>
    <row r="847">
      <c r="A847" s="29" t="n">
        <v>-14712</v>
      </c>
      <c r="B847" s="79">
        <f>+B846+A847</f>
        <v/>
      </c>
      <c r="C847" s="30" t="n"/>
    </row>
    <row r="848">
      <c r="A848" s="29" t="n">
        <v>-44136.54</v>
      </c>
      <c r="B848" s="79">
        <f>+B847+A848</f>
        <v/>
      </c>
      <c r="C848" s="30" t="n"/>
    </row>
    <row r="849">
      <c r="A849" s="29" t="n">
        <v>-29343.2</v>
      </c>
      <c r="B849" s="79">
        <f>+B848+A849</f>
        <v/>
      </c>
      <c r="C849" s="30" t="n"/>
    </row>
    <row r="850">
      <c r="A850" s="31" t="n">
        <v>-44014.8</v>
      </c>
      <c r="B850" s="79">
        <f>+B849+A850</f>
        <v/>
      </c>
      <c r="C850" s="30" t="n"/>
    </row>
    <row r="851">
      <c r="A851" s="2" t="n"/>
      <c r="B851" s="74" t="inlineStr">
        <is>
          <t xml:space="preserve">合計 </t>
        </is>
      </c>
      <c r="C851" s="73">
        <f>SUM(C844:C845)</f>
        <v/>
      </c>
    </row>
    <row r="852">
      <c r="A852" s="2" t="n"/>
      <c r="B852" s="74" t="inlineStr">
        <is>
          <t>核驗</t>
        </is>
      </c>
      <c r="C852" s="73">
        <f>+B845-B841</f>
        <v/>
      </c>
    </row>
    <row r="853">
      <c r="A853" s="5" t="n"/>
      <c r="B853" s="71" t="n"/>
      <c r="C853" s="43" t="n"/>
    </row>
    <row r="854">
      <c r="A854" s="43" t="inlineStr">
        <is>
          <t>2026.05.12當沖</t>
        </is>
      </c>
      <c r="B854" s="74" t="inlineStr">
        <is>
          <t>買</t>
        </is>
      </c>
      <c r="C854" s="74">
        <f>SUMIF(A842:A845,"&lt;0")</f>
        <v/>
      </c>
    </row>
    <row r="855">
      <c r="A855" s="43">
        <f>"SPY " &amp; COUNT(C842:C846) * 100 &amp; "股"</f>
        <v/>
      </c>
      <c r="B855" s="74" t="inlineStr">
        <is>
          <t>賣</t>
        </is>
      </c>
      <c r="C855" s="74">
        <f>SUMIF(A842:A34091,"&gt;0")</f>
        <v/>
      </c>
    </row>
    <row r="856" ht="17.25" customHeight="1" s="67" thickBot="1">
      <c r="A856" s="70" t="n"/>
      <c r="B856" s="74" t="inlineStr">
        <is>
          <t>當日損益</t>
        </is>
      </c>
      <c r="C856" s="75">
        <f>+C854+C855</f>
        <v/>
      </c>
    </row>
    <row r="857" ht="17.25" customHeight="1" s="67" thickTop="1">
      <c r="A857" s="70" t="n"/>
      <c r="B857" s="74" t="inlineStr">
        <is>
          <t>當日損益 %</t>
        </is>
      </c>
      <c r="C857" s="36">
        <f>C856/ABS(C854)</f>
        <v/>
      </c>
    </row>
    <row r="858">
      <c r="A858" s="43" t="n"/>
      <c r="B858" s="43" t="n"/>
      <c r="C858" s="43" t="n"/>
    </row>
    <row r="859">
      <c r="A859" s="5" t="n"/>
      <c r="B859" s="43" t="n"/>
      <c r="C859" s="43" t="n"/>
    </row>
    <row r="860">
      <c r="A860" s="43" t="inlineStr">
        <is>
          <t>累積留倉   200股</t>
        </is>
      </c>
      <c r="B860" s="43" t="n"/>
      <c r="C860" s="43" t="n"/>
    </row>
    <row r="861">
      <c r="A861" s="43" t="inlineStr">
        <is>
          <t>2026.05.12 留倉</t>
        </is>
      </c>
      <c r="B861" s="43" t="inlineStr">
        <is>
          <t>買 100股</t>
        </is>
      </c>
      <c r="C861" s="74">
        <f>A846+A847+A848</f>
        <v/>
      </c>
    </row>
    <row r="862">
      <c r="A862" s="43" t="inlineStr">
        <is>
          <t>2026.05.12 留倉</t>
        </is>
      </c>
      <c r="B862" s="43" t="inlineStr">
        <is>
          <t>買 100股</t>
        </is>
      </c>
      <c r="C862" s="74">
        <f>A849+A850</f>
        <v/>
      </c>
    </row>
    <row r="863">
      <c r="A863" s="5" t="n"/>
      <c r="B863" s="43" t="n"/>
      <c r="C863" s="43" t="n"/>
    </row>
    <row r="864">
      <c r="A864" s="5" t="n"/>
      <c r="B864" s="43" t="n"/>
      <c r="C864" s="43" t="n"/>
    </row>
    <row r="865">
      <c r="A865" s="5" t="n"/>
      <c r="B865" s="43" t="n"/>
      <c r="C865" s="43" t="n"/>
    </row>
    <row r="866">
      <c r="A866" s="5" t="n"/>
      <c r="B866" s="43" t="n"/>
      <c r="C866" s="43" t="n"/>
    </row>
    <row r="867" ht="30" customHeight="1" s="67">
      <c r="A867" s="70" t="inlineStr">
        <is>
          <t>2026.05.13</t>
        </is>
      </c>
      <c r="B867" s="2" t="n">
        <v>104471.9</v>
      </c>
      <c r="C867" s="72" t="inlineStr">
        <is>
          <t>損益</t>
        </is>
      </c>
    </row>
    <row r="868">
      <c r="A868" s="6" t="n">
        <v>73848.96000000001</v>
      </c>
      <c r="B868" s="71">
        <f>+B867+A868</f>
        <v/>
      </c>
      <c r="C868" s="18" t="n">
        <v>490.96</v>
      </c>
    </row>
    <row r="869">
      <c r="A869" s="6" t="n">
        <v>73895.15000000001</v>
      </c>
      <c r="B869" s="71">
        <f>+B868+A869</f>
        <v/>
      </c>
      <c r="C869" s="18" t="n">
        <v>334.81</v>
      </c>
    </row>
    <row r="870">
      <c r="A870" s="6" t="n">
        <v>-74051.53999999999</v>
      </c>
      <c r="B870" s="71">
        <f>+B869+A870</f>
        <v/>
      </c>
      <c r="C870" s="17" t="n"/>
    </row>
    <row r="871">
      <c r="A871" s="6" t="n">
        <v>74089.45</v>
      </c>
      <c r="B871" s="71">
        <f>+B870+A871</f>
        <v/>
      </c>
      <c r="C871" s="18" t="n">
        <v>37.91</v>
      </c>
    </row>
    <row r="872">
      <c r="A872" s="2" t="n"/>
      <c r="B872" s="74" t="inlineStr">
        <is>
          <t xml:space="preserve">合計 </t>
        </is>
      </c>
      <c r="C872" s="73">
        <f>SUM(C870:C871)</f>
        <v/>
      </c>
    </row>
    <row r="873">
      <c r="A873" s="2" t="n"/>
      <c r="B873" s="74" t="inlineStr">
        <is>
          <t>核驗</t>
        </is>
      </c>
      <c r="C873" s="73">
        <f>+B871-B869</f>
        <v/>
      </c>
    </row>
    <row r="874">
      <c r="A874" s="5" t="n"/>
      <c r="B874" s="71" t="n"/>
      <c r="C874" s="43" t="n"/>
    </row>
    <row r="875">
      <c r="A875" s="43" t="inlineStr">
        <is>
          <t>2026.05.13當沖</t>
        </is>
      </c>
      <c r="B875" s="74" t="inlineStr">
        <is>
          <t>買</t>
        </is>
      </c>
      <c r="C875" s="74">
        <f>SUMIF(A870:A871,"&lt;0")</f>
        <v/>
      </c>
    </row>
    <row r="876">
      <c r="A876" s="43">
        <f>"SPY " &amp; COUNT(C870:C871) * 100 &amp; "股"</f>
        <v/>
      </c>
      <c r="B876" s="74" t="inlineStr">
        <is>
          <t>賣</t>
        </is>
      </c>
      <c r="C876" s="74">
        <f>SUMIF(A870:A871,"&gt;0")</f>
        <v/>
      </c>
    </row>
    <row r="877" ht="17.25" customHeight="1" s="67" thickBot="1">
      <c r="A877" s="70" t="n"/>
      <c r="B877" s="74" t="inlineStr">
        <is>
          <t>當日損益</t>
        </is>
      </c>
      <c r="C877" s="75">
        <f>+C875+C876</f>
        <v/>
      </c>
    </row>
    <row r="878" ht="17.25" customHeight="1" s="67" thickTop="1">
      <c r="A878" s="70" t="n"/>
      <c r="B878" s="74" t="inlineStr">
        <is>
          <t>當日損益 %</t>
        </is>
      </c>
      <c r="C878" s="36">
        <f>C877/ABS(C875)</f>
        <v/>
      </c>
    </row>
    <row r="879">
      <c r="A879" s="5" t="n"/>
      <c r="B879" s="43" t="n"/>
      <c r="C879" s="43" t="n"/>
    </row>
    <row r="880">
      <c r="A880" s="43" t="inlineStr">
        <is>
          <t>2026.05.12買入</t>
        </is>
      </c>
      <c r="B880" s="74" t="inlineStr">
        <is>
          <t>100股</t>
        </is>
      </c>
      <c r="C880" s="74">
        <f>C862</f>
        <v/>
      </c>
    </row>
    <row r="881">
      <c r="A881" s="43" t="inlineStr">
        <is>
          <t>2026.05.13平倉</t>
        </is>
      </c>
      <c r="B881" s="74" t="inlineStr">
        <is>
          <t>100股</t>
        </is>
      </c>
      <c r="C881" s="74">
        <f>A868</f>
        <v/>
      </c>
    </row>
    <row r="882" ht="17.25" customHeight="1" s="67" thickBot="1">
      <c r="A882" s="70" t="n"/>
      <c r="B882" s="74" t="inlineStr">
        <is>
          <t>平倉損益</t>
        </is>
      </c>
      <c r="C882" s="75">
        <f>+C880+C881</f>
        <v/>
      </c>
    </row>
    <row r="883" ht="17.25" customHeight="1" s="67" thickTop="1">
      <c r="A883" s="70" t="n"/>
      <c r="B883" s="74" t="inlineStr">
        <is>
          <t>平倉損益 %</t>
        </is>
      </c>
      <c r="C883" s="36">
        <f>C882/ABS(C880)</f>
        <v/>
      </c>
    </row>
    <row r="884">
      <c r="A884" s="5" t="n"/>
      <c r="B884" s="43" t="n"/>
      <c r="C884" s="43" t="n"/>
    </row>
    <row r="885">
      <c r="A885" s="43" t="inlineStr">
        <is>
          <t>2026.05.12買入</t>
        </is>
      </c>
      <c r="B885" s="74" t="inlineStr">
        <is>
          <t>100股</t>
        </is>
      </c>
      <c r="C885" s="74">
        <f>C861</f>
        <v/>
      </c>
    </row>
    <row r="886">
      <c r="A886" s="43" t="inlineStr">
        <is>
          <t>2026.05.13平倉</t>
        </is>
      </c>
      <c r="B886" s="74" t="inlineStr">
        <is>
          <t>100股</t>
        </is>
      </c>
      <c r="C886" s="74">
        <f>A869</f>
        <v/>
      </c>
    </row>
    <row r="887" ht="17.25" customHeight="1" s="67" thickBot="1">
      <c r="A887" s="70" t="n"/>
      <c r="B887" s="74" t="inlineStr">
        <is>
          <t>平倉損益</t>
        </is>
      </c>
      <c r="C887" s="75">
        <f>+C885+C886</f>
        <v/>
      </c>
    </row>
    <row r="888" ht="17.25" customHeight="1" s="67" thickTop="1">
      <c r="A888" s="70" t="n"/>
      <c r="B888" s="74" t="inlineStr">
        <is>
          <t>平倉損益 %</t>
        </is>
      </c>
      <c r="C888" s="36">
        <f>C887/ABS(C885)</f>
        <v/>
      </c>
    </row>
    <row r="889">
      <c r="A889" s="5" t="n"/>
      <c r="B889" s="43" t="n"/>
      <c r="C889" s="43" t="n"/>
    </row>
    <row r="890">
      <c r="A890" s="5" t="n"/>
      <c r="B890" s="43" t="n"/>
      <c r="C890" s="43" t="n"/>
    </row>
    <row r="891">
      <c r="A891" s="5" t="n"/>
      <c r="B891" s="43" t="n"/>
      <c r="C891" s="43" t="n"/>
    </row>
    <row r="892">
      <c r="A892" s="5" t="n"/>
      <c r="B892" s="43" t="n"/>
      <c r="C892" s="43" t="n"/>
    </row>
    <row r="893">
      <c r="A893" s="5" t="n"/>
      <c r="B893" s="43" t="n"/>
      <c r="C893" s="43" t="n"/>
    </row>
    <row r="894" ht="30" customHeight="1" s="67">
      <c r="A894" s="70" t="inlineStr">
        <is>
          <t>2026.05.14</t>
        </is>
      </c>
      <c r="B894" s="2" t="n">
        <v>-42384.08</v>
      </c>
      <c r="C894" s="72" t="inlineStr">
        <is>
          <t>損益</t>
        </is>
      </c>
    </row>
    <row r="895">
      <c r="A895" s="6" t="n">
        <v>-74906.92</v>
      </c>
      <c r="B895" s="71">
        <f>+B894+A895</f>
        <v/>
      </c>
      <c r="C895" s="17" t="n"/>
    </row>
    <row r="896">
      <c r="A896" s="6" t="n">
        <v>74889.94</v>
      </c>
      <c r="B896" s="71">
        <f>+B895+A896</f>
        <v/>
      </c>
      <c r="C896" s="20" t="n">
        <v>-16.98</v>
      </c>
    </row>
    <row r="897">
      <c r="A897" s="6" t="n">
        <v>-74759.5</v>
      </c>
      <c r="B897" s="71">
        <f>+B896+A897</f>
        <v/>
      </c>
      <c r="C897" s="17" t="n"/>
    </row>
    <row r="898">
      <c r="A898" s="6" t="n">
        <v>74787.94</v>
      </c>
      <c r="B898" s="71">
        <f>+B897+A898</f>
        <v/>
      </c>
      <c r="C898" s="18" t="n">
        <v>28.44</v>
      </c>
    </row>
    <row r="899">
      <c r="A899" s="2" t="n"/>
      <c r="B899" s="74" t="inlineStr">
        <is>
          <t xml:space="preserve">合計 </t>
        </is>
      </c>
      <c r="C899" s="73">
        <f>SUM(C895:C898)</f>
        <v/>
      </c>
    </row>
    <row r="900">
      <c r="A900" s="2" t="n"/>
      <c r="B900" s="74" t="inlineStr">
        <is>
          <t>核驗</t>
        </is>
      </c>
      <c r="C900" s="73">
        <f>+B898-B894</f>
        <v/>
      </c>
    </row>
    <row r="901">
      <c r="A901" s="5" t="n"/>
      <c r="B901" s="71" t="n"/>
      <c r="C901" s="43" t="n"/>
    </row>
    <row r="902">
      <c r="A902" s="43" t="inlineStr">
        <is>
          <t>2026.05.14當沖</t>
        </is>
      </c>
      <c r="B902" s="74" t="inlineStr">
        <is>
          <t>買</t>
        </is>
      </c>
      <c r="C902" s="74">
        <f>SUMIF(A895:A34615,"&lt;0")</f>
        <v/>
      </c>
    </row>
    <row r="903">
      <c r="A903" s="43">
        <f>"SPY " &amp; COUNT(C895:C898) * 100 &amp; "股"</f>
        <v/>
      </c>
      <c r="B903" s="74" t="inlineStr">
        <is>
          <t>賣</t>
        </is>
      </c>
      <c r="C903" s="74">
        <f>SUMIF(A895:A34620,"&gt;0")</f>
        <v/>
      </c>
    </row>
    <row r="904" ht="17.25" customHeight="1" s="67" thickBot="1">
      <c r="A904" s="70" t="n"/>
      <c r="B904" s="74" t="inlineStr">
        <is>
          <t>當日損益</t>
        </is>
      </c>
      <c r="C904" s="75">
        <f>+C902+C903</f>
        <v/>
      </c>
    </row>
    <row r="905" ht="17.25" customHeight="1" s="67" thickTop="1">
      <c r="A905" s="70" t="n"/>
      <c r="B905" s="74" t="inlineStr">
        <is>
          <t>當日損益 %</t>
        </is>
      </c>
      <c r="C905" s="36">
        <f>C904/ABS(C902)</f>
        <v/>
      </c>
    </row>
    <row r="906">
      <c r="A906" s="43" t="n"/>
      <c r="B906" s="43" t="n"/>
      <c r="C906" s="43" t="n"/>
    </row>
    <row r="907">
      <c r="A907" s="43" t="n"/>
      <c r="B907" s="43" t="n"/>
      <c r="C907" s="43" t="n"/>
    </row>
    <row r="908" ht="30" customHeight="1" s="67">
      <c r="A908" s="70" t="inlineStr">
        <is>
          <t>2026.05.15</t>
        </is>
      </c>
      <c r="B908" s="2" t="n">
        <v>-42372.62</v>
      </c>
      <c r="C908" s="72" t="inlineStr">
        <is>
          <t>損益</t>
        </is>
      </c>
    </row>
    <row r="909">
      <c r="A909" s="32" t="n">
        <v>-74070.5</v>
      </c>
      <c r="B909" s="71">
        <f>+B908+A909</f>
        <v/>
      </c>
      <c r="C909" s="43" t="n"/>
    </row>
    <row r="910">
      <c r="A910" s="33" t="n">
        <v>-73925</v>
      </c>
      <c r="B910" s="71">
        <f>+B909+A910</f>
        <v/>
      </c>
      <c r="C910" s="43" t="n"/>
    </row>
    <row r="911">
      <c r="A911" s="33" t="n">
        <v>73894.46000000001</v>
      </c>
      <c r="B911" s="71">
        <f>+B910+A911</f>
        <v/>
      </c>
      <c r="C911" s="43" t="n">
        <v>-30.54</v>
      </c>
    </row>
    <row r="912">
      <c r="A912" s="32" t="n">
        <v>-73955.5</v>
      </c>
      <c r="B912" s="71">
        <f>+B911+A912</f>
        <v/>
      </c>
      <c r="C912" s="43" t="n"/>
    </row>
    <row r="913">
      <c r="A913" s="33" t="n">
        <v>-74147.5</v>
      </c>
      <c r="B913" s="71">
        <f>+B912+A913</f>
        <v/>
      </c>
      <c r="C913" s="43" t="n"/>
    </row>
    <row r="914">
      <c r="A914" s="33" t="n">
        <v>74221.95</v>
      </c>
      <c r="B914" s="71">
        <f>+B913+A914</f>
        <v/>
      </c>
      <c r="C914" s="43" t="n">
        <v>74.45</v>
      </c>
    </row>
    <row r="915">
      <c r="A915" s="33" t="n">
        <v>-74181.91</v>
      </c>
      <c r="B915" s="71">
        <f>+B914+A915</f>
        <v/>
      </c>
      <c r="C915" s="43" t="n"/>
    </row>
    <row r="916">
      <c r="A916" s="33" t="n">
        <v>74199.95</v>
      </c>
      <c r="B916" s="71">
        <f>+B915+A916</f>
        <v/>
      </c>
      <c r="C916" s="43" t="n">
        <v>18.04</v>
      </c>
    </row>
    <row r="917">
      <c r="A917" s="33" t="n">
        <v>-74122.5</v>
      </c>
      <c r="B917" s="71">
        <f>+B916+A917</f>
        <v/>
      </c>
      <c r="C917" s="43" t="n"/>
    </row>
    <row r="918">
      <c r="A918" s="33" t="n">
        <v>74159.45</v>
      </c>
      <c r="B918" s="71">
        <f>+B917+A918</f>
        <v/>
      </c>
      <c r="C918" s="43" t="n">
        <v>36.95</v>
      </c>
    </row>
    <row r="919">
      <c r="A919" s="2" t="n"/>
      <c r="B919" s="74" t="inlineStr">
        <is>
          <t xml:space="preserve">合計 </t>
        </is>
      </c>
      <c r="C919" s="73">
        <f>SUM(C909:C918)</f>
        <v/>
      </c>
    </row>
    <row r="920">
      <c r="A920" s="2" t="n"/>
      <c r="B920" s="74" t="inlineStr">
        <is>
          <t>核驗</t>
        </is>
      </c>
      <c r="C920" s="73">
        <f>+B918-B909-A912</f>
        <v/>
      </c>
    </row>
    <row r="921">
      <c r="A921" s="5" t="n"/>
      <c r="B921" s="71" t="n"/>
      <c r="C921" s="43" t="n"/>
    </row>
    <row r="922">
      <c r="A922" s="43" t="inlineStr">
        <is>
          <t>2026.05.15當沖</t>
        </is>
      </c>
      <c r="B922" s="74" t="inlineStr">
        <is>
          <t>買</t>
        </is>
      </c>
      <c r="C922" s="74">
        <f>SUMIF(A909:A918,"&lt;0")-A912-A909</f>
        <v/>
      </c>
    </row>
    <row r="923">
      <c r="A923" s="43">
        <f>"SPY " &amp; COUNT(C909:C918) * 100 &amp; "股"</f>
        <v/>
      </c>
      <c r="B923" s="74" t="inlineStr">
        <is>
          <t>賣</t>
        </is>
      </c>
      <c r="C923" s="74">
        <f>SUMIF(A909:A918,"&gt;0")</f>
        <v/>
      </c>
    </row>
    <row r="924" ht="17.25" customHeight="1" s="67" thickBot="1">
      <c r="A924" s="70" t="n"/>
      <c r="B924" s="74" t="inlineStr">
        <is>
          <t>當日損益</t>
        </is>
      </c>
      <c r="C924" s="75">
        <f>+C922+C923</f>
        <v/>
      </c>
    </row>
    <row r="925" ht="17.25" customHeight="1" s="67" thickTop="1">
      <c r="A925" s="70" t="n"/>
      <c r="B925" s="74" t="inlineStr">
        <is>
          <t>當日損益 %</t>
        </is>
      </c>
      <c r="C925" s="36">
        <f>C924/ABS(C922)</f>
        <v/>
      </c>
    </row>
    <row r="926">
      <c r="A926" s="43" t="n"/>
      <c r="B926" s="43" t="n"/>
      <c r="C926" s="43" t="n"/>
    </row>
    <row r="927">
      <c r="A927" s="43" t="n"/>
      <c r="B927" s="43" t="n"/>
      <c r="C927" s="43" t="n"/>
    </row>
    <row r="928">
      <c r="A928" s="43" t="inlineStr">
        <is>
          <t>累積留倉   200股</t>
        </is>
      </c>
      <c r="B928" s="43" t="n"/>
      <c r="C928" s="43" t="n"/>
    </row>
    <row r="929">
      <c r="A929" s="43" t="inlineStr">
        <is>
          <t>2026.05.15 留倉</t>
        </is>
      </c>
      <c r="B929" s="43" t="inlineStr">
        <is>
          <t>買 100股</t>
        </is>
      </c>
      <c r="C929" s="74">
        <f>A909</f>
        <v/>
      </c>
    </row>
    <row r="930">
      <c r="A930" s="43" t="inlineStr">
        <is>
          <t>2026.05.15 留倉</t>
        </is>
      </c>
      <c r="B930" s="43" t="inlineStr">
        <is>
          <t>買 100股</t>
        </is>
      </c>
      <c r="C930" s="74">
        <f>A912</f>
        <v/>
      </c>
    </row>
    <row r="931">
      <c r="A931" s="43" t="n"/>
      <c r="B931" s="43" t="n"/>
      <c r="C931" s="43" t="n"/>
    </row>
    <row r="932">
      <c r="A932" s="43" t="n"/>
      <c r="B932" s="43" t="n"/>
      <c r="C932" s="43" t="n"/>
    </row>
    <row r="933">
      <c r="A933" s="43" t="n"/>
      <c r="B933" s="43" t="n"/>
      <c r="C933" s="43" t="n"/>
    </row>
    <row r="934" ht="30" customHeight="1" s="67">
      <c r="A934" s="70" t="inlineStr">
        <is>
          <t>2026.05.18</t>
        </is>
      </c>
      <c r="B934" s="2" t="n">
        <v>105409.4</v>
      </c>
      <c r="C934" s="72" t="inlineStr">
        <is>
          <t>損益</t>
        </is>
      </c>
    </row>
    <row r="935">
      <c r="A935" s="33" t="n">
        <v>-73857.99000000001</v>
      </c>
      <c r="B935" s="71">
        <f>+B934+A935</f>
        <v/>
      </c>
      <c r="C935" s="43" t="n"/>
    </row>
    <row r="936">
      <c r="A936" s="33" t="n">
        <v>73719.46000000001</v>
      </c>
      <c r="B936" s="71">
        <f>+B935+A936</f>
        <v/>
      </c>
      <c r="C936" s="43" t="n">
        <v>-138.53</v>
      </c>
    </row>
    <row r="937">
      <c r="A937" s="33" t="n">
        <v>-73719.5</v>
      </c>
      <c r="B937" s="71">
        <f>+B936+A937</f>
        <v/>
      </c>
      <c r="C937" s="43" t="n"/>
    </row>
    <row r="938">
      <c r="A938" s="33" t="n">
        <v>73716.96000000001</v>
      </c>
      <c r="B938" s="71">
        <f>+B937+A938</f>
        <v/>
      </c>
      <c r="C938" s="43" t="n">
        <v>-2.54</v>
      </c>
    </row>
    <row r="939">
      <c r="A939" s="2" t="n"/>
      <c r="B939" s="74" t="inlineStr">
        <is>
          <t xml:space="preserve">合計 </t>
        </is>
      </c>
      <c r="C939" s="73">
        <f>SUM(C935:C938)</f>
        <v/>
      </c>
    </row>
    <row r="940">
      <c r="A940" s="2" t="n"/>
      <c r="B940" s="74" t="inlineStr">
        <is>
          <t>核驗</t>
        </is>
      </c>
      <c r="C940" s="73">
        <f>+B938-B934</f>
        <v/>
      </c>
    </row>
    <row r="941">
      <c r="A941" s="5" t="n"/>
      <c r="B941" s="71" t="n"/>
      <c r="C941" s="43" t="n"/>
    </row>
    <row r="942">
      <c r="A942" s="43" t="inlineStr">
        <is>
          <t>2026.05.18當沖</t>
        </is>
      </c>
      <c r="B942" s="74" t="inlineStr">
        <is>
          <t>買</t>
        </is>
      </c>
      <c r="C942" s="74">
        <f>SUMIF(A935:A938,"&lt;0")</f>
        <v/>
      </c>
    </row>
    <row r="943">
      <c r="A943" s="43">
        <f>"SPY " &amp; COUNT(C935:C938) * 100 &amp; "股"</f>
        <v/>
      </c>
      <c r="B943" s="74" t="inlineStr">
        <is>
          <t>賣</t>
        </is>
      </c>
      <c r="C943" s="74">
        <f>SUMIF(A935:A938,"&gt;0")</f>
        <v/>
      </c>
    </row>
    <row r="944" ht="17.25" customHeight="1" s="67" thickBot="1">
      <c r="A944" s="70" t="n"/>
      <c r="B944" s="74" t="inlineStr">
        <is>
          <t>當日損益</t>
        </is>
      </c>
      <c r="C944" s="75">
        <f>+C942+C943</f>
        <v/>
      </c>
    </row>
    <row r="945" ht="17.25" customHeight="1" s="67" thickTop="1">
      <c r="A945" s="70" t="n"/>
      <c r="B945" s="74" t="inlineStr">
        <is>
          <t>當日損益 %</t>
        </is>
      </c>
      <c r="C945" s="36">
        <f>C944/ABS(C942)</f>
        <v/>
      </c>
    </row>
    <row r="946">
      <c r="A946" s="43" t="n"/>
      <c r="B946" s="43" t="n"/>
      <c r="C946" s="43" t="n"/>
    </row>
    <row r="947">
      <c r="A947" s="43" t="n"/>
      <c r="B947" s="43" t="n"/>
      <c r="C947" s="43" t="n"/>
    </row>
    <row r="948">
      <c r="A948" s="43" t="inlineStr">
        <is>
          <t>累積留倉   200股</t>
        </is>
      </c>
      <c r="B948" s="43" t="n"/>
      <c r="C948" s="43" t="n"/>
    </row>
    <row r="949">
      <c r="A949" s="43" t="inlineStr">
        <is>
          <t>2026.05.15 留倉</t>
        </is>
      </c>
      <c r="B949" s="43" t="inlineStr">
        <is>
          <t>買 100股</t>
        </is>
      </c>
      <c r="C949" s="74">
        <f>C929</f>
        <v/>
      </c>
    </row>
    <row r="950">
      <c r="A950" s="43" t="inlineStr">
        <is>
          <t>2026.05.15 留倉</t>
        </is>
      </c>
      <c r="B950" s="43" t="inlineStr">
        <is>
          <t>買 100股</t>
        </is>
      </c>
      <c r="C950" s="74">
        <f>C930</f>
        <v/>
      </c>
    </row>
    <row r="951">
      <c r="A951" s="43" t="n"/>
      <c r="B951" s="43" t="n"/>
      <c r="C951" s="43" t="n"/>
    </row>
    <row r="952">
      <c r="A952" s="43" t="n"/>
      <c r="B952" s="43" t="n"/>
      <c r="C952" s="43" t="n"/>
    </row>
    <row r="953">
      <c r="A953" s="43" t="n"/>
      <c r="B953" s="43" t="n"/>
      <c r="C953" s="43" t="n"/>
    </row>
    <row r="954">
      <c r="A954" s="43" t="n"/>
      <c r="B954" s="43" t="n"/>
      <c r="C954" s="43" t="n"/>
    </row>
    <row r="955">
      <c r="A955" s="43" t="n"/>
      <c r="B955" s="43" t="n"/>
      <c r="C955" s="43" t="n"/>
    </row>
    <row r="956" ht="30" customHeight="1" s="67">
      <c r="A956" s="70" t="inlineStr">
        <is>
          <t>2026.05.19</t>
        </is>
      </c>
      <c r="B956" s="2" t="n">
        <v>-42517.7</v>
      </c>
      <c r="C956" s="72" t="inlineStr">
        <is>
          <t>損益</t>
        </is>
      </c>
    </row>
    <row r="957">
      <c r="A957" s="2" t="n">
        <v>-73469.5</v>
      </c>
      <c r="B957" s="71">
        <f>+B956+A957</f>
        <v/>
      </c>
      <c r="C957" s="13" t="n"/>
    </row>
    <row r="958">
      <c r="A958" s="2" t="n">
        <v>73366.17</v>
      </c>
      <c r="B958" s="71">
        <f>+B957+A958</f>
        <v/>
      </c>
      <c r="C958" s="15" t="n">
        <v>-103.33</v>
      </c>
    </row>
    <row r="959">
      <c r="A959" s="2" t="n">
        <v>-73222.5</v>
      </c>
      <c r="B959" s="71">
        <f>+B958+A959</f>
        <v/>
      </c>
      <c r="C959" s="13" t="n"/>
    </row>
    <row r="960">
      <c r="A960" s="2" t="n">
        <v>3663.2</v>
      </c>
      <c r="B960" s="71">
        <f>+B959+A960</f>
        <v/>
      </c>
      <c r="C960" s="13" t="n"/>
    </row>
    <row r="961">
      <c r="A961" s="2" t="n">
        <v>54946.86</v>
      </c>
      <c r="B961" s="71">
        <f>+B960+A961</f>
        <v/>
      </c>
      <c r="C961" s="13" t="n"/>
    </row>
    <row r="962">
      <c r="A962" s="2" t="n">
        <v>14652.74</v>
      </c>
      <c r="B962" s="71">
        <f>+B961+A962</f>
        <v/>
      </c>
      <c r="C962" s="14" t="n">
        <v>40.3</v>
      </c>
    </row>
    <row r="963">
      <c r="B963" s="74" t="inlineStr">
        <is>
          <t xml:space="preserve">合計 </t>
        </is>
      </c>
      <c r="C963" s="73">
        <f>SUM(C957:C962)</f>
        <v/>
      </c>
    </row>
    <row r="964">
      <c r="A964" s="2" t="n"/>
      <c r="B964" s="74" t="inlineStr">
        <is>
          <t>核驗</t>
        </is>
      </c>
      <c r="C964" s="73">
        <f>+B962-B956</f>
        <v/>
      </c>
    </row>
    <row r="965">
      <c r="A965" s="5" t="n"/>
      <c r="B965" s="71" t="n"/>
      <c r="C965" s="43" t="n"/>
    </row>
    <row r="966">
      <c r="A966" s="43" t="inlineStr">
        <is>
          <t>2026.05.18當沖</t>
        </is>
      </c>
      <c r="B966" s="74" t="inlineStr">
        <is>
          <t>買</t>
        </is>
      </c>
      <c r="C966" s="74">
        <f>SUMIF(A957:A962,"&lt;0")</f>
        <v/>
      </c>
    </row>
    <row r="967">
      <c r="A967" s="43">
        <f>"SPY " &amp; COUNT(C957:C962) * 100 &amp; "股"</f>
        <v/>
      </c>
      <c r="B967" s="74" t="inlineStr">
        <is>
          <t>賣</t>
        </is>
      </c>
      <c r="C967" s="74">
        <f>SUMIF(A957:A962,"&gt;0")</f>
        <v/>
      </c>
    </row>
    <row r="968" ht="17.25" customHeight="1" s="67" thickBot="1">
      <c r="A968" s="70" t="n"/>
      <c r="B968" s="74" t="inlineStr">
        <is>
          <t>當日損益</t>
        </is>
      </c>
      <c r="C968" s="75">
        <f>+C966+C967</f>
        <v/>
      </c>
    </row>
    <row r="969" ht="17.25" customHeight="1" s="67" thickTop="1">
      <c r="A969" s="70" t="n"/>
      <c r="B969" s="74" t="inlineStr">
        <is>
          <t>當日損益 %</t>
        </is>
      </c>
      <c r="C969" s="36">
        <f>C968/ABS(C966)</f>
        <v/>
      </c>
    </row>
    <row r="970">
      <c r="A970" s="43" t="n"/>
      <c r="B970" s="43" t="n"/>
      <c r="C970" s="43" t="n"/>
    </row>
    <row r="971">
      <c r="A971" s="43" t="n"/>
      <c r="B971" s="43" t="n"/>
      <c r="C971" s="43" t="n"/>
    </row>
    <row r="972">
      <c r="A972" s="43" t="inlineStr">
        <is>
          <t>累積留倉   200股</t>
        </is>
      </c>
      <c r="B972" s="43" t="n"/>
      <c r="C972" s="43" t="n"/>
    </row>
    <row r="973">
      <c r="A973" s="43" t="inlineStr">
        <is>
          <t>2026.05.15 留倉</t>
        </is>
      </c>
      <c r="B973" s="43" t="inlineStr">
        <is>
          <t>買 100股</t>
        </is>
      </c>
      <c r="C973" s="74">
        <f>$Y$3799</f>
        <v/>
      </c>
    </row>
    <row r="974">
      <c r="A974" s="43" t="inlineStr">
        <is>
          <t>2026.05.15 留倉</t>
        </is>
      </c>
      <c r="B974" s="43" t="inlineStr">
        <is>
          <t>買 100股</t>
        </is>
      </c>
      <c r="C974" s="74">
        <f>$Y$3800</f>
        <v/>
      </c>
    </row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69">
        <f>C999/ABS(C997)</f>
        <v/>
      </c>
    </row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69">
        <f>C1022/ABS(C1020)</f>
        <v/>
      </c>
    </row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7">
      <c r="A1037" t="inlineStr">
        <is>
          <t>2026.05.22無當沖</t>
        </is>
      </c>
    </row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69">
        <f>C1041/ABS(C1039)</f>
        <v/>
      </c>
    </row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69">
        <f>C1046/ABS(C1044)</f>
        <v/>
      </c>
    </row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1">
      <c r="A1061" t="inlineStr">
        <is>
          <t>2026.05.26當沖</t>
        </is>
      </c>
      <c r="B1061" t="inlineStr">
        <is>
          <t>買</t>
        </is>
      </c>
      <c r="C1061" s="82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2">
        <f>SUMIF(A1050:A1057,"&gt;0")</f>
        <v/>
      </c>
    </row>
    <row r="1063">
      <c r="B1063" t="inlineStr">
        <is>
          <t>當日損益</t>
        </is>
      </c>
      <c r="C1063" s="82">
        <f>+C1061+C1062</f>
        <v/>
      </c>
    </row>
    <row r="1064">
      <c r="B1064" t="inlineStr">
        <is>
          <t>當日損益 %</t>
        </is>
      </c>
      <c r="C1064" s="69">
        <f>C1063/ABS(C1061)</f>
        <v/>
      </c>
    </row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topLeftCell="A13" workbookViewId="0">
      <selection activeCell="B31" sqref="B31:C31"/>
    </sheetView>
  </sheetViews>
  <sheetFormatPr baseColWidth="8" defaultRowHeight="16.5"/>
  <cols>
    <col width="18.75" customWidth="1" style="67" min="1" max="1"/>
  </cols>
  <sheetData>
    <row r="1" ht="17.25" customHeight="1" s="67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3" t="n">
        <v>286.24</v>
      </c>
      <c r="C2" s="43" t="n">
        <v>286.24</v>
      </c>
    </row>
    <row r="3">
      <c r="A3" s="87" t="n">
        <v>46149</v>
      </c>
      <c r="B3" s="43" t="n">
        <v>55.02</v>
      </c>
      <c r="C3" s="43">
        <f>C2+B3</f>
        <v/>
      </c>
    </row>
    <row r="4">
      <c r="A4" s="87" t="n">
        <v>46150</v>
      </c>
      <c r="B4" s="43" t="n">
        <v>388.37</v>
      </c>
      <c r="C4" s="43">
        <f>C3+B4</f>
        <v/>
      </c>
    </row>
    <row r="5">
      <c r="A5" s="87" t="n">
        <v>46153</v>
      </c>
      <c r="B5" s="43" t="n">
        <v>-23.13000000000466</v>
      </c>
      <c r="C5" s="43">
        <f>C4+B5</f>
        <v/>
      </c>
    </row>
    <row r="6">
      <c r="A6" s="87" t="n">
        <v>46154</v>
      </c>
      <c r="B6" s="43" t="n">
        <v>85.49000000001979</v>
      </c>
      <c r="C6" s="43">
        <f>C5+B6</f>
        <v/>
      </c>
    </row>
    <row r="7">
      <c r="A7" s="87" t="n">
        <v>46155</v>
      </c>
      <c r="B7" s="43" t="n">
        <v>863.6800000000221</v>
      </c>
      <c r="C7" s="43">
        <f>C6+B7</f>
        <v/>
      </c>
    </row>
    <row r="8">
      <c r="A8" s="87" t="n">
        <v>46156</v>
      </c>
      <c r="B8" s="43" t="n">
        <v>11.46000000002095</v>
      </c>
      <c r="C8" s="43">
        <f>C7+B8</f>
        <v/>
      </c>
    </row>
    <row r="9">
      <c r="A9" s="87" t="n">
        <v>46157</v>
      </c>
      <c r="B9" s="43" t="n">
        <v>98.90000000000001</v>
      </c>
      <c r="C9" s="43">
        <f>C8+B9</f>
        <v/>
      </c>
    </row>
    <row r="10">
      <c r="A10" s="87" t="n">
        <v>46160</v>
      </c>
      <c r="B10" s="43" t="n">
        <v>-141.0699999999779</v>
      </c>
      <c r="C10" s="43">
        <f>C9+B10</f>
        <v/>
      </c>
    </row>
    <row r="11">
      <c r="A11" s="87" t="n">
        <v>46161</v>
      </c>
      <c r="B11" s="43" t="n">
        <v>-63.03000000002794</v>
      </c>
      <c r="C11" s="43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1" t="n">
        <v>22.9</v>
      </c>
      <c r="C45" s="41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5" t="n">
        <v>46219</v>
      </c>
      <c r="B48" t="n">
        <v>104</v>
      </c>
      <c r="C48">
        <f>C47+B48</f>
        <v/>
      </c>
    </row>
    <row r="49">
      <c r="A49" s="45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90" t="n">
        <v>46225</v>
      </c>
      <c r="B52" t="n">
        <v>-205.5</v>
      </c>
      <c r="C52">
        <f>C51+B52</f>
        <v/>
      </c>
    </row>
    <row r="53">
      <c r="A53" s="90" t="n">
        <v>46226</v>
      </c>
      <c r="B53" t="n">
        <v>146.08</v>
      </c>
      <c r="C53">
        <f>C52+B53</f>
        <v/>
      </c>
    </row>
    <row r="54">
      <c r="A54" s="90" t="n">
        <v>46227</v>
      </c>
      <c r="B54" t="n">
        <v>58.27</v>
      </c>
      <c r="C54">
        <f>C53+B54</f>
        <v/>
      </c>
    </row>
    <row r="55">
      <c r="A55" s="90" t="n">
        <v>46230</v>
      </c>
      <c r="B55" t="n">
        <v>-1485.25</v>
      </c>
      <c r="C55">
        <f>C54+B55</f>
        <v/>
      </c>
    </row>
    <row r="56">
      <c r="A56" s="90" t="n">
        <v>46231</v>
      </c>
      <c r="B56" t="n">
        <v>476.34</v>
      </c>
      <c r="C56">
        <f>C55+B56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2026-09-08T00:47:34Z</dcterms:modified>
  <cp:lastModifiedBy>USER</cp:lastModifiedBy>
</cp:coreProperties>
</file>