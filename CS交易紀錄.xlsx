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19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5"/>
    <row r="976"/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6"/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1"/>
    <row r="1002"/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6"/>
    <row r="1007"/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19"/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4"/>
    <row r="1025"/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29"/>
    <row r="1030"/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6"/>
    <row r="1037">
      <c r="A1037" t="inlineStr">
        <is>
          <t>2026.05.22無當沖</t>
        </is>
      </c>
    </row>
    <row r="1038"/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3"/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8"/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0"/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5"/>
    <row r="1066"/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79"/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4"/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7"/>
    <row r="1088"/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3"/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8"/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3"/>
    <row r="1114"/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4"/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29"/>
    <row r="1130"/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6"/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1"/>
    <row r="1152"/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8"/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3"/>
    <row r="1174"/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1"/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6"/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1"/>
    <row r="1202"/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5"/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0"/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5"/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29"/>
    <row r="1230"/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1"/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6"/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1"/>
    <row r="1272"/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5"/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0"/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5"/>
    <row r="1316"/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39"/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4"/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0"/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8"/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3"/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79"/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1"/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6"/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1"/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6"/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1"/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6"/>
    <row r="1417"/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4"/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39"/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2"/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6"/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1"/>
    <row r="1482"/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2"/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7"/>
    <row r="1508"/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6"/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1"/>
    <row r="1532"/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2"/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7"/>
    <row r="1558"/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6"/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1"/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6"/>
    <row r="1597"/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3"/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18"/>
    <row r="1619"/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5"/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0"/>
    <row r="1651"/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3"/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78"/>
    <row r="1679"/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5"/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0"/>
    <row r="1701"/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3"/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28"/>
    <row r="1729"/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3"/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78"/>
    <row r="1779"/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799"/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4"/>
    <row r="1805"/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1"/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6"/>
    <row r="1837"/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59"/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4"/>
    <row r="1865"/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4"/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899"/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5"/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48"/>
    <row r="1949"/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3"/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68"/>
    <row r="1969"/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7"/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2"/>
    <row r="1993"/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39"/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4"/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7"/>
    <row r="2048"/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6"/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1"/>
    <row r="2092"/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4"/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09"/>
    <row r="2110"/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6"/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1"/>
    <row r="2142"/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6"/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1"/>
    <row r="2172"/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2"/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7"/>
    <row r="2198"/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6"/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1"/>
    <row r="2222"/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6"/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1"/>
    <row r="2242"/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8"/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3"/>
    <row r="2274"/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4"/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09"/>
    <row r="2310"/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8"/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3"/>
    <row r="2334"/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6"/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1"/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4"/>
    <row r="2365"/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0"/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5"/>
    <row r="2376"/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2"/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7"/>
    <row r="2398"/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6"/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1"/>
    <row r="2432"/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0"/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5"/>
    <row r="2476"/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8"/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3"/>
    <row r="2504"/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4"/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39"/>
    <row r="2540"/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5"/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  <row r="2548"/>
    <row r="2549"/>
    <row r="2550">
      <c r="A2550" t="inlineStr">
        <is>
          <t>2026.09.10</t>
        </is>
      </c>
      <c r="B2550" t="n">
        <v>115848.8</v>
      </c>
      <c r="C2550" t="inlineStr">
        <is>
          <t>損益</t>
        </is>
      </c>
    </row>
    <row r="2551">
      <c r="A2551" t="n">
        <v>-75688.5</v>
      </c>
      <c r="B2551">
        <f>+B2550+A2551</f>
        <v/>
      </c>
    </row>
    <row r="2552">
      <c r="B2552" t="inlineStr">
        <is>
          <t xml:space="preserve">合計 </t>
        </is>
      </c>
      <c r="C2552">
        <f>SUM(C2551:C2551)</f>
        <v/>
      </c>
    </row>
    <row r="2553">
      <c r="B2553" t="inlineStr">
        <is>
          <t>核驗</t>
        </is>
      </c>
      <c r="C2553">
        <f>+B2551-B2550</f>
        <v/>
      </c>
    </row>
    <row r="2554"/>
    <row r="2555">
      <c r="A2555" t="inlineStr">
        <is>
          <t>累積留倉   100股</t>
        </is>
      </c>
    </row>
    <row r="2556">
      <c r="A2556" t="inlineStr">
        <is>
          <t>2026.09.10 留倉</t>
        </is>
      </c>
      <c r="B2556" t="inlineStr">
        <is>
          <t>買 100股</t>
        </is>
      </c>
      <c r="C2556" t="n">
        <v>-75688.5</v>
      </c>
    </row>
    <row r="2557"/>
    <row r="2558"/>
    <row r="2559">
      <c r="A2559" t="inlineStr">
        <is>
          <t>2026.09.16</t>
        </is>
      </c>
      <c r="B2559" t="n">
        <v>40160.3</v>
      </c>
      <c r="C2559" t="inlineStr">
        <is>
          <t>損益</t>
        </is>
      </c>
    </row>
    <row r="2560">
      <c r="A2560" t="n">
        <v>-75916</v>
      </c>
      <c r="B2560">
        <f>+B2559+A2560</f>
        <v/>
      </c>
    </row>
    <row r="2561">
      <c r="A2561" t="n">
        <v>75939.92</v>
      </c>
      <c r="B2561">
        <f>+B2560+A2561</f>
        <v/>
      </c>
      <c r="C2561" t="n">
        <v>23.92</v>
      </c>
    </row>
    <row r="2562">
      <c r="B2562" t="inlineStr">
        <is>
          <t xml:space="preserve">合計 </t>
        </is>
      </c>
      <c r="C2562">
        <f>SUM(C2560:C2561)</f>
        <v/>
      </c>
    </row>
    <row r="2563">
      <c r="B2563" t="inlineStr">
        <is>
          <t>核驗</t>
        </is>
      </c>
      <c r="C2563">
        <f>+B2561-B2559</f>
        <v/>
      </c>
    </row>
    <row r="2564"/>
    <row r="2565">
      <c r="A2565" t="inlineStr">
        <is>
          <t>2026.09.16當沖</t>
        </is>
      </c>
      <c r="B2565" t="inlineStr">
        <is>
          <t>買</t>
        </is>
      </c>
      <c r="C2565" s="80">
        <f>SUMIF(A2560:A2561,"&lt;0")</f>
        <v/>
      </c>
    </row>
    <row r="2566">
      <c r="A2566">
        <f>"SPY " &amp; COUNT(C2560:C2561) * 100 &amp; "股"</f>
        <v/>
      </c>
      <c r="B2566" t="inlineStr">
        <is>
          <t>賣</t>
        </is>
      </c>
      <c r="C2566" s="80">
        <f>SUMIF(A2560:A2561,"&gt;0")</f>
        <v/>
      </c>
    </row>
    <row r="2567">
      <c r="B2567" t="inlineStr">
        <is>
          <t>當日損益</t>
        </is>
      </c>
      <c r="C2567" s="80">
        <f>+C2565+C2566</f>
        <v/>
      </c>
    </row>
    <row r="2568">
      <c r="B2568" t="inlineStr">
        <is>
          <t>當日損益 %</t>
        </is>
      </c>
      <c r="C2568" s="45">
        <f>C2567/ABS(C2565)</f>
        <v/>
      </c>
    </row>
    <row r="2569"/>
    <row r="2570">
      <c r="A2570" t="inlineStr">
        <is>
          <t>累積留倉   100股</t>
        </is>
      </c>
    </row>
    <row r="2571">
      <c r="A2571" t="inlineStr">
        <is>
          <t>2026.09.10 留倉</t>
        </is>
      </c>
      <c r="B2571" t="inlineStr">
        <is>
          <t>買 100股</t>
        </is>
      </c>
      <c r="C2571" t="n">
        <v>-75688.5</v>
      </c>
    </row>
    <row r="2572"/>
    <row r="2573"/>
    <row r="2574" s="44">
      <c r="A2574" t="inlineStr">
        <is>
          <t>2026.09.21</t>
        </is>
      </c>
      <c r="B2574" s="81" t="n">
        <v>40184.22</v>
      </c>
      <c r="C2574" t="inlineStr">
        <is>
          <t>損益</t>
        </is>
      </c>
    </row>
    <row r="2575" s="44">
      <c r="A2575" t="n">
        <v>76905.41</v>
      </c>
      <c r="B2575">
        <f>+B2574+A2575</f>
        <v/>
      </c>
    </row>
    <row r="2576" s="44">
      <c r="B2576" t="inlineStr">
        <is>
          <t xml:space="preserve">合計 </t>
        </is>
      </c>
      <c r="C2576">
        <f>SUM(C2575:C2575)</f>
        <v/>
      </c>
    </row>
    <row r="2577" s="44">
      <c r="B2577" t="inlineStr">
        <is>
          <t>核驗</t>
        </is>
      </c>
      <c r="C2577">
        <f>+B2575-B2574-A2575</f>
        <v/>
      </c>
    </row>
    <row r="2578" s="44"/>
    <row r="2579" s="44">
      <c r="A2579" t="inlineStr">
        <is>
          <t>累積留倉   0股</t>
        </is>
      </c>
    </row>
    <row r="2580" s="44">
      <c r="A2580" t="inlineStr">
        <is>
          <t>2026.09.10 留倉</t>
        </is>
      </c>
      <c r="B2580" t="inlineStr">
        <is>
          <t>買 100股</t>
        </is>
      </c>
      <c r="C2580" s="80" t="n">
        <v>-75688.5</v>
      </c>
    </row>
    <row r="2581">
      <c r="A2581" t="inlineStr">
        <is>
          <t>2026.09.18 配息</t>
        </is>
      </c>
      <c r="B2581" s="83" t="n">
        <v>1.88883</v>
      </c>
      <c r="C2581" s="80">
        <f>100*1.88883*0.7</f>
        <v/>
      </c>
    </row>
    <row r="2582" s="44">
      <c r="A2582" s="41" t="inlineStr">
        <is>
          <t>2026.09.21 平倉</t>
        </is>
      </c>
      <c r="B2582" t="inlineStr">
        <is>
          <t>賣100股</t>
        </is>
      </c>
      <c r="C2582" s="71">
        <f>+A2575</f>
        <v/>
      </c>
    </row>
    <row r="2583" s="44">
      <c r="A2583" s="41" t="n"/>
      <c r="B2583" t="inlineStr">
        <is>
          <t>平倉損益</t>
        </is>
      </c>
      <c r="C2583" s="80">
        <f>+C2580+C2582+C2581</f>
        <v/>
      </c>
    </row>
    <row r="2584" s="44">
      <c r="A2584" s="41" t="n"/>
      <c r="B2584" t="inlineStr">
        <is>
          <t>平倉損益 %</t>
        </is>
      </c>
      <c r="C2584" s="42">
        <f>C2583/ABS(C2580)</f>
        <v/>
      </c>
    </row>
    <row r="2585"/>
    <row r="2586"/>
    <row r="2587">
      <c r="A2587" t="inlineStr">
        <is>
          <t>2026.09.28</t>
        </is>
      </c>
      <c r="B2587" t="n">
        <v>117089.63</v>
      </c>
      <c r="C2587" t="inlineStr">
        <is>
          <t>損益</t>
        </is>
      </c>
    </row>
    <row r="2588">
      <c r="A2588" t="n">
        <v>-76610.5</v>
      </c>
      <c r="B2588">
        <f>+B2587+A2588</f>
        <v/>
      </c>
    </row>
    <row r="2589">
      <c r="B2589" t="inlineStr">
        <is>
          <t xml:space="preserve">合計 </t>
        </is>
      </c>
      <c r="C2589">
        <f>SUM(C2588:C2588)</f>
        <v/>
      </c>
    </row>
    <row r="2590">
      <c r="B2590" t="inlineStr">
        <is>
          <t>核驗</t>
        </is>
      </c>
      <c r="C2590">
        <f>+B2588-B2587</f>
        <v/>
      </c>
    </row>
    <row r="2591"/>
    <row r="2592">
      <c r="A2592" t="inlineStr">
        <is>
          <t>累積留倉   100股</t>
        </is>
      </c>
    </row>
    <row r="2593">
      <c r="A2593" t="inlineStr">
        <is>
          <t>2026.09.28 留倉</t>
        </is>
      </c>
      <c r="B2593" t="inlineStr">
        <is>
          <t>買 100股</t>
        </is>
      </c>
      <c r="C2593" t="n">
        <v>-76610.5</v>
      </c>
    </row>
    <row r="2594"/>
    <row r="2595"/>
    <row r="2596">
      <c r="A2596" t="inlineStr">
        <is>
          <t>2026.09.29</t>
        </is>
      </c>
      <c r="B2596" s="81" t="n">
        <v>40479.13</v>
      </c>
      <c r="C2596" t="inlineStr">
        <is>
          <t>損益</t>
        </is>
      </c>
    </row>
    <row r="2597">
      <c r="A2597" t="n">
        <v>76353.5</v>
      </c>
      <c r="B2597">
        <f>+B2596+A2597</f>
        <v/>
      </c>
    </row>
    <row r="2598">
      <c r="B2598" t="inlineStr">
        <is>
          <t xml:space="preserve">合計 </t>
        </is>
      </c>
      <c r="C2598">
        <f>SUM(C2597:C2597)</f>
        <v/>
      </c>
    </row>
    <row r="2599">
      <c r="B2599" t="inlineStr">
        <is>
          <t>核驗</t>
        </is>
      </c>
      <c r="C2599">
        <f>+B2597-B2596-A2597</f>
        <v/>
      </c>
    </row>
    <row r="2600"/>
    <row r="2601"/>
    <row r="2602">
      <c r="A2602" t="inlineStr">
        <is>
          <t>2026.10.15</t>
        </is>
      </c>
      <c r="B2602" t="n">
        <v>2382534.74</v>
      </c>
      <c r="C2602" t="inlineStr">
        <is>
          <t>損益</t>
        </is>
      </c>
    </row>
    <row r="2603">
      <c r="A2603" t="n">
        <v>-76993.67</v>
      </c>
      <c r="B2603">
        <f>+B2602+A2603</f>
        <v/>
      </c>
    </row>
    <row r="2604">
      <c r="A2604" t="n">
        <v>77062.91</v>
      </c>
      <c r="B2604">
        <f>+B2603+A2604</f>
        <v/>
      </c>
      <c r="C2604" t="n">
        <v>69.23999999999999</v>
      </c>
    </row>
    <row r="2605">
      <c r="A2605" t="n">
        <v>-77020</v>
      </c>
      <c r="B2605">
        <f>+B2604+A2605</f>
        <v/>
      </c>
    </row>
    <row r="2606">
      <c r="A2606" t="n">
        <v>76998.42</v>
      </c>
      <c r="B2606">
        <f>+B2605+A2606</f>
        <v/>
      </c>
      <c r="C2606" t="n">
        <v>-21.58</v>
      </c>
    </row>
    <row r="2607">
      <c r="B2607" t="inlineStr">
        <is>
          <t xml:space="preserve">合計 </t>
        </is>
      </c>
      <c r="C2607" s="80">
        <f>SUM(C2603:C2606)</f>
        <v/>
      </c>
    </row>
    <row r="2608">
      <c r="B2608" t="inlineStr">
        <is>
          <t>核驗</t>
        </is>
      </c>
      <c r="C2608" s="80">
        <f>+B2606-B2602</f>
        <v/>
      </c>
    </row>
    <row r="2610">
      <c r="A2610" t="inlineStr">
        <is>
          <t>2026.10.15當沖</t>
        </is>
      </c>
      <c r="B2610" t="inlineStr">
        <is>
          <t>買</t>
        </is>
      </c>
      <c r="C2610" s="80">
        <f>SUMIF(A2603:A2606,"&lt;0")</f>
        <v/>
      </c>
    </row>
    <row r="2611">
      <c r="A2611">
        <f>"SPY " &amp; COUNT(C2603:C2606) * 100 &amp; "股"</f>
        <v/>
      </c>
      <c r="B2611" t="inlineStr">
        <is>
          <t>賣</t>
        </is>
      </c>
      <c r="C2611" s="80">
        <f>SUMIF(A2603:A2606,"&gt;0")</f>
        <v/>
      </c>
    </row>
    <row r="2612">
      <c r="B2612" t="inlineStr">
        <is>
          <t>當日損益</t>
        </is>
      </c>
      <c r="C2612" s="80">
        <f>+C2610+C2611</f>
        <v/>
      </c>
    </row>
    <row r="2613">
      <c r="B2613" t="inlineStr">
        <is>
          <t>當日損益 %</t>
        </is>
      </c>
      <c r="C2613" s="45">
        <f>C2612/ABS(C2610)</f>
        <v/>
      </c>
    </row>
    <row r="2614"/>
    <row r="2615">
      <c r="A2615" t="inlineStr">
        <is>
          <t>累積留倉   0股</t>
        </is>
      </c>
    </row>
    <row r="2616">
      <c r="A2616" t="inlineStr">
        <is>
          <t>2026.09.28 留倉</t>
        </is>
      </c>
      <c r="B2616" t="inlineStr">
        <is>
          <t>買 100股</t>
        </is>
      </c>
      <c r="C2616" t="n">
        <v>-76610.5</v>
      </c>
    </row>
    <row r="2617">
      <c r="A2617" t="inlineStr">
        <is>
          <t>2026.09.29 平倉</t>
        </is>
      </c>
      <c r="B2617" t="inlineStr">
        <is>
          <t>賣100股</t>
        </is>
      </c>
      <c r="C2617">
        <f>+A2597</f>
        <v/>
      </c>
    </row>
    <row r="2618">
      <c r="B2618" t="inlineStr">
        <is>
          <t>平倉損益</t>
        </is>
      </c>
      <c r="C2618">
        <f>+C2602+C2603</f>
        <v/>
      </c>
    </row>
    <row r="2619">
      <c r="B2619" t="inlineStr">
        <is>
          <t>平倉損益 %</t>
        </is>
      </c>
      <c r="C2619">
        <f>C2604/ABS(C2602)</f>
        <v/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  <row r="66">
      <c r="A66" s="86" t="n">
        <v>46281</v>
      </c>
      <c r="B66" t="n">
        <v>23.92</v>
      </c>
      <c r="C66">
        <f>C65+B66</f>
        <v/>
      </c>
    </row>
    <row r="67">
      <c r="A67" s="86" t="n">
        <v>46286</v>
      </c>
      <c r="B67" t="n">
        <v>1349.13</v>
      </c>
      <c r="C67">
        <f>C66+B67</f>
        <v/>
      </c>
    </row>
    <row r="68">
      <c r="A68" s="86" t="n">
        <v>46294</v>
      </c>
      <c r="B68" t="n">
        <v>-257</v>
      </c>
      <c r="C68">
        <f>C67+B68</f>
        <v/>
      </c>
    </row>
    <row r="69">
      <c r="A69" s="86" t="n">
        <v>46310</v>
      </c>
      <c r="B69" t="n">
        <v>47.66</v>
      </c>
      <c r="C69">
        <f>C68+B69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2026-10-16T06:01:18Z</dcterms:modified>
  <cp:lastModifiedBy>USER</cp:lastModifiedBy>
</cp:coreProperties>
</file>