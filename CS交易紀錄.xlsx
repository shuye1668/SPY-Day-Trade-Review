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WINDOWS-AUC64IA\fileserver_D\TradeReview\"/>
    </mc:Choice>
  </mc:AlternateContent>
  <bookViews>
    <workbookView xWindow="240" yWindow="105" windowWidth="14805" windowHeight="8010" activeTab="1"/>
  </bookViews>
  <sheets>
    <sheet name="個別識別法" sheetId="1" r:id="rId1"/>
    <sheet name="工作表1" sheetId="3" r:id="rId2"/>
    <sheet name="累積損益check" sheetId="2" r:id="rId3"/>
  </sheets>
  <calcPr calcId="152511"/>
</workbook>
</file>

<file path=xl/calcChain.xml><?xml version="1.0" encoding="utf-8"?>
<calcChain xmlns="http://schemas.openxmlformats.org/spreadsheetml/2006/main">
  <c r="C3" i="2" l="1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2472" i="1"/>
  <c r="C2473" i="1" s="1"/>
  <c r="C2474" i="1" s="1"/>
  <c r="A2472" i="1"/>
  <c r="C2471" i="1"/>
  <c r="C2468" i="1"/>
  <c r="B2434" i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C2469" i="1" s="1"/>
  <c r="C2428" i="1"/>
  <c r="A2428" i="1"/>
  <c r="C2427" i="1"/>
  <c r="C2429" i="1" s="1"/>
  <c r="C2430" i="1" s="1"/>
  <c r="C2424" i="1"/>
  <c r="B2401" i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C2425" i="1" s="1"/>
  <c r="B2400" i="1"/>
  <c r="C2396" i="1"/>
  <c r="C2394" i="1"/>
  <c r="A2394" i="1"/>
  <c r="C2393" i="1"/>
  <c r="C2395" i="1" s="1"/>
  <c r="C2390" i="1"/>
  <c r="B2386" i="1"/>
  <c r="B2387" i="1" s="1"/>
  <c r="B2388" i="1" s="1"/>
  <c r="B2389" i="1" s="1"/>
  <c r="C2391" i="1" s="1"/>
  <c r="B2378" i="1"/>
  <c r="B2379" i="1" s="1"/>
  <c r="B2380" i="1" s="1"/>
  <c r="B2381" i="1" s="1"/>
  <c r="B2382" i="1" s="1"/>
  <c r="B2383" i="1" s="1"/>
  <c r="B2384" i="1" s="1"/>
  <c r="B2385" i="1" s="1"/>
  <c r="C2374" i="1"/>
  <c r="C2373" i="1"/>
  <c r="C2368" i="1"/>
  <c r="B2367" i="1"/>
  <c r="C2369" i="1" s="1"/>
  <c r="C2363" i="1"/>
  <c r="C2359" i="1"/>
  <c r="C2360" i="1" s="1"/>
  <c r="C2358" i="1"/>
  <c r="A2358" i="1"/>
  <c r="C2357" i="1"/>
  <c r="C2354" i="1"/>
  <c r="B2343" i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C2355" i="1" s="1"/>
  <c r="B2337" i="1"/>
  <c r="B2338" i="1" s="1"/>
  <c r="B2339" i="1" s="1"/>
  <c r="B2340" i="1" s="1"/>
  <c r="B2341" i="1" s="1"/>
  <c r="B2342" i="1" s="1"/>
  <c r="B2336" i="1"/>
  <c r="C2331" i="1"/>
  <c r="C2332" i="1" s="1"/>
  <c r="C2330" i="1"/>
  <c r="A2330" i="1"/>
  <c r="C2329" i="1"/>
  <c r="C2326" i="1"/>
  <c r="B2318" i="1"/>
  <c r="B2319" i="1" s="1"/>
  <c r="B2320" i="1" s="1"/>
  <c r="B2321" i="1" s="1"/>
  <c r="B2322" i="1" s="1"/>
  <c r="B2323" i="1" s="1"/>
  <c r="B2324" i="1" s="1"/>
  <c r="B2325" i="1" s="1"/>
  <c r="C2327" i="1" s="1"/>
  <c r="B2313" i="1"/>
  <c r="B2314" i="1" s="1"/>
  <c r="B2315" i="1" s="1"/>
  <c r="B2316" i="1" s="1"/>
  <c r="B2317" i="1" s="1"/>
  <c r="B2312" i="1"/>
  <c r="C2307" i="1"/>
  <c r="C2308" i="1" s="1"/>
  <c r="C2306" i="1"/>
  <c r="A2306" i="1"/>
  <c r="C2305" i="1"/>
  <c r="C2302" i="1"/>
  <c r="B2289" i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C2303" i="1" s="1"/>
  <c r="B2283" i="1"/>
  <c r="B2284" i="1" s="1"/>
  <c r="B2285" i="1" s="1"/>
  <c r="B2286" i="1" s="1"/>
  <c r="B2287" i="1" s="1"/>
  <c r="B2288" i="1" s="1"/>
  <c r="B2276" i="1"/>
  <c r="B2277" i="1" s="1"/>
  <c r="B2278" i="1" s="1"/>
  <c r="B2279" i="1" s="1"/>
  <c r="B2280" i="1" s="1"/>
  <c r="B2281" i="1" s="1"/>
  <c r="B2282" i="1" s="1"/>
  <c r="C2270" i="1"/>
  <c r="C2271" i="1" s="1"/>
  <c r="C2272" i="1" s="1"/>
  <c r="A2270" i="1"/>
  <c r="C2269" i="1"/>
  <c r="C2266" i="1"/>
  <c r="B2245" i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C2267" i="1" s="1"/>
  <c r="B2244" i="1"/>
  <c r="C2238" i="1"/>
  <c r="A2238" i="1"/>
  <c r="C2237" i="1"/>
  <c r="C2239" i="1" s="1"/>
  <c r="C2240" i="1" s="1"/>
  <c r="C2234" i="1"/>
  <c r="B2224" i="1"/>
  <c r="B2225" i="1" s="1"/>
  <c r="B2226" i="1" s="1"/>
  <c r="B2227" i="1" s="1"/>
  <c r="B2228" i="1" s="1"/>
  <c r="B2229" i="1" s="1"/>
  <c r="B2230" i="1" s="1"/>
  <c r="B2231" i="1" s="1"/>
  <c r="B2232" i="1" s="1"/>
  <c r="B2233" i="1" s="1"/>
  <c r="C2235" i="1" s="1"/>
  <c r="C2218" i="1"/>
  <c r="C2219" i="1" s="1"/>
  <c r="C2220" i="1" s="1"/>
  <c r="A2218" i="1"/>
  <c r="C2217" i="1"/>
  <c r="C2214" i="1"/>
  <c r="B2200" i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C2215" i="1" s="1"/>
  <c r="C2195" i="1"/>
  <c r="C2196" i="1" s="1"/>
  <c r="C2194" i="1"/>
  <c r="A2194" i="1"/>
  <c r="C2193" i="1"/>
  <c r="C2191" i="1"/>
  <c r="C2190" i="1"/>
  <c r="B2175" i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74" i="1"/>
  <c r="C2168" i="1"/>
  <c r="C2169" i="1" s="1"/>
  <c r="C2170" i="1" s="1"/>
  <c r="A2168" i="1"/>
  <c r="C2167" i="1"/>
  <c r="C2164" i="1"/>
  <c r="B2149" i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C2165" i="1" s="1"/>
  <c r="B2144" i="1"/>
  <c r="B2145" i="1" s="1"/>
  <c r="B2146" i="1" s="1"/>
  <c r="B2147" i="1" s="1"/>
  <c r="B2148" i="1" s="1"/>
  <c r="C2139" i="1"/>
  <c r="C2140" i="1" s="1"/>
  <c r="C2138" i="1"/>
  <c r="A2138" i="1"/>
  <c r="C2137" i="1"/>
  <c r="C2134" i="1"/>
  <c r="B2112" i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C2135" i="1" s="1"/>
  <c r="C2106" i="1"/>
  <c r="A2106" i="1"/>
  <c r="C2105" i="1"/>
  <c r="C2107" i="1" s="1"/>
  <c r="C2108" i="1" s="1"/>
  <c r="C2102" i="1"/>
  <c r="B2094" i="1"/>
  <c r="B2095" i="1" s="1"/>
  <c r="B2096" i="1" s="1"/>
  <c r="B2097" i="1" s="1"/>
  <c r="B2098" i="1" s="1"/>
  <c r="B2099" i="1" s="1"/>
  <c r="B2100" i="1" s="1"/>
  <c r="B2101" i="1" s="1"/>
  <c r="C2103" i="1" s="1"/>
  <c r="C2089" i="1"/>
  <c r="C2090" i="1" s="1"/>
  <c r="C2088" i="1"/>
  <c r="A2088" i="1"/>
  <c r="C2087" i="1"/>
  <c r="C2084" i="1"/>
  <c r="B2051" i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C2085" i="1" s="1"/>
  <c r="B2050" i="1"/>
  <c r="C2041" i="1"/>
  <c r="C2042" i="1" s="1"/>
  <c r="C2043" i="1" s="1"/>
  <c r="A2041" i="1"/>
  <c r="C2040" i="1"/>
  <c r="C2036" i="1"/>
  <c r="C2037" i="1" s="1"/>
  <c r="C2038" i="1" s="1"/>
  <c r="A2036" i="1"/>
  <c r="C2035" i="1"/>
  <c r="C2032" i="1"/>
  <c r="B2025" i="1"/>
  <c r="B2026" i="1" s="1"/>
  <c r="B2027" i="1" s="1"/>
  <c r="B2028" i="1" s="1"/>
  <c r="B2029" i="1" s="1"/>
  <c r="B2030" i="1" s="1"/>
  <c r="B2031" i="1" s="1"/>
  <c r="C2033" i="1" s="1"/>
  <c r="B1995" i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C1990" i="1"/>
  <c r="C1991" i="1" s="1"/>
  <c r="C1989" i="1"/>
  <c r="A1989" i="1"/>
  <c r="C1988" i="1"/>
  <c r="C1985" i="1"/>
  <c r="B1971" i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C1986" i="1" s="1"/>
  <c r="C1965" i="1"/>
  <c r="C1966" i="1" s="1"/>
  <c r="C1967" i="1" s="1"/>
  <c r="A1965" i="1"/>
  <c r="C1964" i="1"/>
  <c r="C1961" i="1"/>
  <c r="B1955" i="1"/>
  <c r="B1956" i="1" s="1"/>
  <c r="B1957" i="1" s="1"/>
  <c r="B1958" i="1" s="1"/>
  <c r="B1959" i="1" s="1"/>
  <c r="B1960" i="1" s="1"/>
  <c r="C1962" i="1" s="1"/>
  <c r="B1952" i="1"/>
  <c r="B1953" i="1" s="1"/>
  <c r="B1954" i="1" s="1"/>
  <c r="B1951" i="1"/>
  <c r="C1946" i="1"/>
  <c r="C1947" i="1" s="1"/>
  <c r="C1945" i="1"/>
  <c r="A1945" i="1"/>
  <c r="C1944" i="1"/>
  <c r="C1941" i="1"/>
  <c r="B1926" i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C1942" i="1" s="1"/>
  <c r="B1924" i="1"/>
  <c r="B1925" i="1" s="1"/>
  <c r="B1923" i="1"/>
  <c r="C1917" i="1"/>
  <c r="C1918" i="1" s="1"/>
  <c r="C1919" i="1" s="1"/>
  <c r="A1917" i="1"/>
  <c r="C1916" i="1"/>
  <c r="C1913" i="1"/>
  <c r="B1911" i="1"/>
  <c r="B1912" i="1" s="1"/>
  <c r="C1914" i="1" s="1"/>
  <c r="B1909" i="1"/>
  <c r="B1910" i="1" s="1"/>
  <c r="C1904" i="1"/>
  <c r="C1905" i="1" s="1"/>
  <c r="C1903" i="1"/>
  <c r="C1902" i="1"/>
  <c r="C1892" i="1"/>
  <c r="A1886" i="1"/>
  <c r="A1884" i="1"/>
  <c r="B1867" i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C1893" i="1" s="1"/>
  <c r="C1862" i="1"/>
  <c r="C1863" i="1" s="1"/>
  <c r="A1896" i="1" s="1"/>
  <c r="C1861" i="1"/>
  <c r="A1861" i="1"/>
  <c r="C1860" i="1"/>
  <c r="C1857" i="1"/>
  <c r="B1842" i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C1858" i="1" s="1"/>
  <c r="B1841" i="1"/>
  <c r="B1840" i="1"/>
  <c r="B1839" i="1"/>
  <c r="C1833" i="1"/>
  <c r="A1833" i="1"/>
  <c r="C1832" i="1"/>
  <c r="C1834" i="1" s="1"/>
  <c r="C1835" i="1" s="1"/>
  <c r="C1829" i="1"/>
  <c r="B1808" i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C1830" i="1" s="1"/>
  <c r="B1807" i="1"/>
  <c r="C1803" i="1"/>
  <c r="C1802" i="1"/>
  <c r="C1801" i="1"/>
  <c r="A1801" i="1"/>
  <c r="C1800" i="1"/>
  <c r="C1797" i="1"/>
  <c r="B1782" i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C1798" i="1" s="1"/>
  <c r="B1781" i="1"/>
  <c r="C1777" i="1"/>
  <c r="C1775" i="1"/>
  <c r="A1775" i="1"/>
  <c r="C1774" i="1"/>
  <c r="C1776" i="1" s="1"/>
  <c r="C1771" i="1"/>
  <c r="B1742" i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C1772" i="1" s="1"/>
  <c r="B1733" i="1"/>
  <c r="B1734" i="1" s="1"/>
  <c r="B1735" i="1" s="1"/>
  <c r="B1736" i="1" s="1"/>
  <c r="B1737" i="1" s="1"/>
  <c r="B1738" i="1" s="1"/>
  <c r="B1739" i="1" s="1"/>
  <c r="B1740" i="1" s="1"/>
  <c r="B1741" i="1" s="1"/>
  <c r="B1731" i="1"/>
  <c r="B1732" i="1" s="1"/>
  <c r="C1726" i="1"/>
  <c r="C1727" i="1" s="1"/>
  <c r="C1725" i="1"/>
  <c r="A1725" i="1"/>
  <c r="C1724" i="1"/>
  <c r="C1721" i="1"/>
  <c r="B1703" i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C1722" i="1" s="1"/>
  <c r="C1697" i="1"/>
  <c r="A1697" i="1"/>
  <c r="C1696" i="1"/>
  <c r="C1698" i="1" s="1"/>
  <c r="C1699" i="1" s="1"/>
  <c r="C1693" i="1"/>
  <c r="B1687" i="1"/>
  <c r="B1688" i="1" s="1"/>
  <c r="B1689" i="1" s="1"/>
  <c r="B1690" i="1" s="1"/>
  <c r="B1691" i="1" s="1"/>
  <c r="B1692" i="1" s="1"/>
  <c r="C1694" i="1" s="1"/>
  <c r="B1681" i="1"/>
  <c r="B1682" i="1" s="1"/>
  <c r="B1683" i="1" s="1"/>
  <c r="B1684" i="1" s="1"/>
  <c r="B1685" i="1" s="1"/>
  <c r="B1686" i="1" s="1"/>
  <c r="C1676" i="1"/>
  <c r="C1677" i="1" s="1"/>
  <c r="C1675" i="1"/>
  <c r="A1675" i="1"/>
  <c r="C1674" i="1"/>
  <c r="C1671" i="1"/>
  <c r="B1669" i="1"/>
  <c r="B1670" i="1" s="1"/>
  <c r="C1672" i="1" s="1"/>
  <c r="B1663" i="1"/>
  <c r="B1664" i="1" s="1"/>
  <c r="B1665" i="1" s="1"/>
  <c r="B1666" i="1" s="1"/>
  <c r="B1667" i="1" s="1"/>
  <c r="B1668" i="1" s="1"/>
  <c r="B1662" i="1"/>
  <c r="B1653" i="1"/>
  <c r="B1654" i="1" s="1"/>
  <c r="B1655" i="1" s="1"/>
  <c r="B1656" i="1" s="1"/>
  <c r="B1657" i="1" s="1"/>
  <c r="B1658" i="1" s="1"/>
  <c r="B1659" i="1" s="1"/>
  <c r="B1660" i="1" s="1"/>
  <c r="B1661" i="1" s="1"/>
  <c r="C1647" i="1"/>
  <c r="A1647" i="1"/>
  <c r="C1646" i="1"/>
  <c r="C1648" i="1" s="1"/>
  <c r="C1649" i="1" s="1"/>
  <c r="C1643" i="1"/>
  <c r="B1625" i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C1644" i="1" s="1"/>
  <c r="B1621" i="1"/>
  <c r="B1622" i="1" s="1"/>
  <c r="B1623" i="1" s="1"/>
  <c r="B1624" i="1" s="1"/>
  <c r="C1615" i="1"/>
  <c r="A1615" i="1"/>
  <c r="C1614" i="1"/>
  <c r="C1611" i="1"/>
  <c r="B1602" i="1"/>
  <c r="B1603" i="1" s="1"/>
  <c r="B1604" i="1" s="1"/>
  <c r="B1605" i="1" s="1"/>
  <c r="B1606" i="1" s="1"/>
  <c r="B1607" i="1" s="1"/>
  <c r="B1608" i="1" s="1"/>
  <c r="B1609" i="1" s="1"/>
  <c r="B1610" i="1" s="1"/>
  <c r="C1612" i="1" s="1"/>
  <c r="B1599" i="1"/>
  <c r="B1600" i="1" s="1"/>
  <c r="B1601" i="1" s="1"/>
  <c r="C1593" i="1"/>
  <c r="A1593" i="1"/>
  <c r="C1592" i="1"/>
  <c r="C1588" i="1"/>
  <c r="A1588" i="1"/>
  <c r="C1584" i="1"/>
  <c r="B1560" i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C1585" i="1" s="1"/>
  <c r="C1554" i="1"/>
  <c r="A1554" i="1"/>
  <c r="C1553" i="1"/>
  <c r="C1555" i="1" s="1"/>
  <c r="C1556" i="1" s="1"/>
  <c r="C1550" i="1"/>
  <c r="B1534" i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C1551" i="1" s="1"/>
  <c r="C1528" i="1"/>
  <c r="A1528" i="1"/>
  <c r="C1527" i="1"/>
  <c r="C1529" i="1" s="1"/>
  <c r="C1530" i="1" s="1"/>
  <c r="C1524" i="1"/>
  <c r="B1520" i="1"/>
  <c r="B1521" i="1" s="1"/>
  <c r="B1522" i="1" s="1"/>
  <c r="B1523" i="1" s="1"/>
  <c r="C1525" i="1" s="1"/>
  <c r="B1513" i="1"/>
  <c r="B1514" i="1" s="1"/>
  <c r="B1515" i="1" s="1"/>
  <c r="B1516" i="1" s="1"/>
  <c r="B1517" i="1" s="1"/>
  <c r="B1518" i="1" s="1"/>
  <c r="B1519" i="1" s="1"/>
  <c r="B1510" i="1"/>
  <c r="B1511" i="1" s="1"/>
  <c r="B1512" i="1" s="1"/>
  <c r="C1504" i="1"/>
  <c r="A1504" i="1"/>
  <c r="C1503" i="1"/>
  <c r="C1505" i="1" s="1"/>
  <c r="C1506" i="1" s="1"/>
  <c r="C1500" i="1"/>
  <c r="B1484" i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C1501" i="1" s="1"/>
  <c r="C1479" i="1"/>
  <c r="C1480" i="1" s="1"/>
  <c r="C1478" i="1"/>
  <c r="A1478" i="1"/>
  <c r="C1477" i="1"/>
  <c r="C1474" i="1"/>
  <c r="B1445" i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C1475" i="1" s="1"/>
  <c r="B1444" i="1"/>
  <c r="C1436" i="1"/>
  <c r="A1436" i="1"/>
  <c r="C1435" i="1"/>
  <c r="C1437" i="1" s="1"/>
  <c r="C1438" i="1" s="1"/>
  <c r="C1432" i="1"/>
  <c r="B1419" i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C1433" i="1" s="1"/>
  <c r="C1413" i="1"/>
  <c r="C1409" i="1"/>
  <c r="C1410" i="1" s="1"/>
  <c r="C1408" i="1"/>
  <c r="C1403" i="1"/>
  <c r="C1398" i="1"/>
  <c r="C1393" i="1"/>
  <c r="A1393" i="1"/>
  <c r="C1392" i="1"/>
  <c r="C1394" i="1" s="1"/>
  <c r="C1395" i="1" s="1"/>
  <c r="C1389" i="1"/>
  <c r="B1381" i="1"/>
  <c r="B1382" i="1" s="1"/>
  <c r="B1383" i="1" s="1"/>
  <c r="B1384" i="1" s="1"/>
  <c r="B1385" i="1" s="1"/>
  <c r="B1386" i="1" s="1"/>
  <c r="B1387" i="1" s="1"/>
  <c r="B1388" i="1" s="1"/>
  <c r="C1390" i="1" s="1"/>
  <c r="C1378" i="1"/>
  <c r="C1397" i="1" s="1"/>
  <c r="C1399" i="1" s="1"/>
  <c r="C1400" i="1" s="1"/>
  <c r="C1370" i="1"/>
  <c r="A1370" i="1"/>
  <c r="C1369" i="1"/>
  <c r="C1371" i="1" s="1"/>
  <c r="C1372" i="1" s="1"/>
  <c r="C1366" i="1"/>
  <c r="B1355" i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C1367" i="1" s="1"/>
  <c r="B1353" i="1"/>
  <c r="B1354" i="1" s="1"/>
  <c r="B1352" i="1"/>
  <c r="C1342" i="1"/>
  <c r="C1343" i="1" s="1"/>
  <c r="C1341" i="1"/>
  <c r="A1341" i="1"/>
  <c r="C1340" i="1"/>
  <c r="C1337" i="1"/>
  <c r="B1328" i="1"/>
  <c r="B1329" i="1" s="1"/>
  <c r="B1330" i="1" s="1"/>
  <c r="B1331" i="1" s="1"/>
  <c r="B1332" i="1" s="1"/>
  <c r="B1333" i="1" s="1"/>
  <c r="B1334" i="1" s="1"/>
  <c r="B1335" i="1" s="1"/>
  <c r="B1336" i="1" s="1"/>
  <c r="C1338" i="1" s="1"/>
  <c r="B1319" i="1"/>
  <c r="B1320" i="1" s="1"/>
  <c r="B1321" i="1" s="1"/>
  <c r="B1322" i="1" s="1"/>
  <c r="B1323" i="1" s="1"/>
  <c r="B1324" i="1" s="1"/>
  <c r="B1325" i="1" s="1"/>
  <c r="B1326" i="1" s="1"/>
  <c r="B1327" i="1" s="1"/>
  <c r="B1318" i="1"/>
  <c r="C1314" i="1"/>
  <c r="C1348" i="1" s="1"/>
  <c r="C1377" i="1" s="1"/>
  <c r="C1402" i="1" s="1"/>
  <c r="C1404" i="1" s="1"/>
  <c r="C1405" i="1" s="1"/>
  <c r="C1313" i="1"/>
  <c r="C1347" i="1" s="1"/>
  <c r="C1376" i="1" s="1"/>
  <c r="C1407" i="1" s="1"/>
  <c r="C1312" i="1"/>
  <c r="C1346" i="1" s="1"/>
  <c r="C1375" i="1" s="1"/>
  <c r="C1412" i="1" s="1"/>
  <c r="C1414" i="1" s="1"/>
  <c r="C1415" i="1" s="1"/>
  <c r="C1307" i="1"/>
  <c r="A1307" i="1"/>
  <c r="C1306" i="1"/>
  <c r="C1308" i="1" s="1"/>
  <c r="C1309" i="1" s="1"/>
  <c r="C1303" i="1"/>
  <c r="B1277" i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C1304" i="1" s="1"/>
  <c r="B1275" i="1"/>
  <c r="B1276" i="1" s="1"/>
  <c r="B1274" i="1"/>
  <c r="C1263" i="1"/>
  <c r="C1264" i="1" s="1"/>
  <c r="C1265" i="1" s="1"/>
  <c r="A1263" i="1"/>
  <c r="C1262" i="1"/>
  <c r="C1259" i="1"/>
  <c r="B1251" i="1"/>
  <c r="B1252" i="1" s="1"/>
  <c r="B1253" i="1" s="1"/>
  <c r="B1254" i="1" s="1"/>
  <c r="B1255" i="1" s="1"/>
  <c r="B1256" i="1" s="1"/>
  <c r="B1257" i="1" s="1"/>
  <c r="B1258" i="1" s="1"/>
  <c r="C1260" i="1" s="1"/>
  <c r="B1232" i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C1228" i="1"/>
  <c r="C1269" i="1" s="1"/>
  <c r="C1227" i="1"/>
  <c r="C1268" i="1" s="1"/>
  <c r="C1223" i="1"/>
  <c r="C1224" i="1" s="1"/>
  <c r="C1221" i="1"/>
  <c r="C1219" i="1"/>
  <c r="C1218" i="1"/>
  <c r="C1217" i="1"/>
  <c r="A1217" i="1"/>
  <c r="C1216" i="1"/>
  <c r="C1213" i="1"/>
  <c r="B1204" i="1"/>
  <c r="B1205" i="1" s="1"/>
  <c r="B1206" i="1" s="1"/>
  <c r="B1207" i="1" s="1"/>
  <c r="B1208" i="1" s="1"/>
  <c r="B1209" i="1" s="1"/>
  <c r="B1210" i="1" s="1"/>
  <c r="B1211" i="1" s="1"/>
  <c r="B1212" i="1" s="1"/>
  <c r="C1214" i="1" s="1"/>
  <c r="C1194" i="1"/>
  <c r="C1195" i="1" s="1"/>
  <c r="C1193" i="1"/>
  <c r="A1193" i="1"/>
  <c r="C1192" i="1"/>
  <c r="C1189" i="1"/>
  <c r="B1177" i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C1190" i="1" s="1"/>
  <c r="B1176" i="1"/>
  <c r="C1171" i="1"/>
  <c r="C1172" i="1" s="1"/>
  <c r="C1170" i="1"/>
  <c r="A1170" i="1"/>
  <c r="C1169" i="1"/>
  <c r="C1166" i="1"/>
  <c r="B1155" i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C1167" i="1" s="1"/>
  <c r="B1154" i="1"/>
  <c r="C1148" i="1"/>
  <c r="A1148" i="1"/>
  <c r="C1147" i="1"/>
  <c r="C1149" i="1" s="1"/>
  <c r="C1150" i="1" s="1"/>
  <c r="C1144" i="1"/>
  <c r="B1139" i="1"/>
  <c r="B1140" i="1" s="1"/>
  <c r="B1141" i="1" s="1"/>
  <c r="B1142" i="1" s="1"/>
  <c r="B1143" i="1" s="1"/>
  <c r="C1145" i="1" s="1"/>
  <c r="B1132" i="1"/>
  <c r="B1133" i="1" s="1"/>
  <c r="B1134" i="1" s="1"/>
  <c r="B1135" i="1" s="1"/>
  <c r="B1136" i="1" s="1"/>
  <c r="B1137" i="1" s="1"/>
  <c r="B1138" i="1" s="1"/>
  <c r="C1126" i="1"/>
  <c r="A1126" i="1"/>
  <c r="C1125" i="1"/>
  <c r="C1127" i="1" s="1"/>
  <c r="C1128" i="1" s="1"/>
  <c r="C1122" i="1"/>
  <c r="B1119" i="1"/>
  <c r="B1120" i="1" s="1"/>
  <c r="B1121" i="1" s="1"/>
  <c r="C1123" i="1" s="1"/>
  <c r="B1117" i="1"/>
  <c r="B1118" i="1" s="1"/>
  <c r="B1116" i="1"/>
  <c r="C1109" i="1"/>
  <c r="C1111" i="1" s="1"/>
  <c r="C1112" i="1" s="1"/>
  <c r="C1105" i="1"/>
  <c r="A1105" i="1"/>
  <c r="C1104" i="1"/>
  <c r="C1106" i="1" s="1"/>
  <c r="C1107" i="1" s="1"/>
  <c r="C1101" i="1"/>
  <c r="B1090" i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C1102" i="1" s="1"/>
  <c r="C1081" i="1"/>
  <c r="A1081" i="1"/>
  <c r="C1080" i="1"/>
  <c r="C1082" i="1" s="1"/>
  <c r="C1083" i="1" s="1"/>
  <c r="C1077" i="1"/>
  <c r="B1069" i="1"/>
  <c r="B1070" i="1" s="1"/>
  <c r="B1071" i="1" s="1"/>
  <c r="B1072" i="1" s="1"/>
  <c r="B1073" i="1" s="1"/>
  <c r="B1074" i="1" s="1"/>
  <c r="B1075" i="1" s="1"/>
  <c r="B1076" i="1" s="1"/>
  <c r="C1078" i="1" s="1"/>
  <c r="B1068" i="1"/>
  <c r="C1062" i="1"/>
  <c r="A1062" i="1"/>
  <c r="C1061" i="1"/>
  <c r="C1063" i="1" s="1"/>
  <c r="C1064" i="1" s="1"/>
  <c r="C1058" i="1"/>
  <c r="B1050" i="1"/>
  <c r="B1051" i="1" s="1"/>
  <c r="B1052" i="1" s="1"/>
  <c r="B1053" i="1" s="1"/>
  <c r="B1054" i="1" s="1"/>
  <c r="B1055" i="1" s="1"/>
  <c r="B1056" i="1" s="1"/>
  <c r="B1057" i="1" s="1"/>
  <c r="C1059" i="1" s="1"/>
  <c r="C1045" i="1"/>
  <c r="C1044" i="1"/>
  <c r="C1046" i="1" s="1"/>
  <c r="C1047" i="1" s="1"/>
  <c r="C1042" i="1"/>
  <c r="C1040" i="1"/>
  <c r="C1035" i="1"/>
  <c r="C1034" i="1"/>
  <c r="B1033" i="1"/>
  <c r="B1032" i="1"/>
  <c r="C1028" i="1"/>
  <c r="C1039" i="1" s="1"/>
  <c r="C1041" i="1" s="1"/>
  <c r="C1021" i="1"/>
  <c r="C1022" i="1" s="1"/>
  <c r="C1023" i="1" s="1"/>
  <c r="A1021" i="1"/>
  <c r="C1020" i="1"/>
  <c r="C1017" i="1"/>
  <c r="B1016" i="1"/>
  <c r="C1018" i="1" s="1"/>
  <c r="B1009" i="1"/>
  <c r="B1010" i="1" s="1"/>
  <c r="B1011" i="1" s="1"/>
  <c r="B1012" i="1" s="1"/>
  <c r="B1013" i="1" s="1"/>
  <c r="B1014" i="1" s="1"/>
  <c r="B1015" i="1" s="1"/>
  <c r="C998" i="1"/>
  <c r="C999" i="1" s="1"/>
  <c r="C1000" i="1" s="1"/>
  <c r="A998" i="1"/>
  <c r="C997" i="1"/>
  <c r="C994" i="1"/>
  <c r="B979" i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C995" i="1" s="1"/>
  <c r="B978" i="1"/>
  <c r="C974" i="1"/>
  <c r="C973" i="1"/>
  <c r="C967" i="1"/>
  <c r="A967" i="1"/>
  <c r="C966" i="1"/>
  <c r="C963" i="1"/>
  <c r="B960" i="1"/>
  <c r="B961" i="1" s="1"/>
  <c r="B962" i="1" s="1"/>
  <c r="C964" i="1" s="1"/>
  <c r="B957" i="1"/>
  <c r="B958" i="1" s="1"/>
  <c r="B959" i="1" s="1"/>
  <c r="C950" i="1"/>
  <c r="C1005" i="1" s="1"/>
  <c r="C949" i="1"/>
  <c r="C1004" i="1" s="1"/>
  <c r="C1027" i="1" s="1"/>
  <c r="C944" i="1"/>
  <c r="C945" i="1" s="1"/>
  <c r="C943" i="1"/>
  <c r="A943" i="1"/>
  <c r="C942" i="1"/>
  <c r="C940" i="1"/>
  <c r="C939" i="1"/>
  <c r="B935" i="1"/>
  <c r="B936" i="1" s="1"/>
  <c r="B937" i="1" s="1"/>
  <c r="B938" i="1" s="1"/>
  <c r="C930" i="1"/>
  <c r="C929" i="1"/>
  <c r="C923" i="1"/>
  <c r="A923" i="1"/>
  <c r="C922" i="1"/>
  <c r="C924" i="1" s="1"/>
  <c r="C925" i="1" s="1"/>
  <c r="C919" i="1"/>
  <c r="B909" i="1"/>
  <c r="B910" i="1" s="1"/>
  <c r="B911" i="1" s="1"/>
  <c r="B912" i="1" s="1"/>
  <c r="B913" i="1" s="1"/>
  <c r="B914" i="1" s="1"/>
  <c r="B915" i="1" s="1"/>
  <c r="B916" i="1" s="1"/>
  <c r="B917" i="1" s="1"/>
  <c r="B918" i="1" s="1"/>
  <c r="C920" i="1" s="1"/>
  <c r="A903" i="1"/>
  <c r="C899" i="1"/>
  <c r="B898" i="1"/>
  <c r="C900" i="1" s="1"/>
  <c r="B895" i="1"/>
  <c r="B896" i="1" s="1"/>
  <c r="B897" i="1" s="1"/>
  <c r="C886" i="1"/>
  <c r="C881" i="1"/>
  <c r="C880" i="1"/>
  <c r="C882" i="1" s="1"/>
  <c r="C883" i="1" s="1"/>
  <c r="C878" i="1"/>
  <c r="C877" i="1"/>
  <c r="C876" i="1"/>
  <c r="A876" i="1"/>
  <c r="C875" i="1"/>
  <c r="C872" i="1"/>
  <c r="B868" i="1"/>
  <c r="B869" i="1" s="1"/>
  <c r="B870" i="1" s="1"/>
  <c r="B871" i="1" s="1"/>
  <c r="C873" i="1" s="1"/>
  <c r="C862" i="1"/>
  <c r="C861" i="1"/>
  <c r="C885" i="1" s="1"/>
  <c r="C887" i="1" s="1"/>
  <c r="C888" i="1" s="1"/>
  <c r="A855" i="1"/>
  <c r="C854" i="1"/>
  <c r="C851" i="1"/>
  <c r="B843" i="1"/>
  <c r="B844" i="1" s="1"/>
  <c r="B845" i="1" s="1"/>
  <c r="B842" i="1"/>
  <c r="C836" i="1"/>
  <c r="A836" i="1"/>
  <c r="C835" i="1"/>
  <c r="B826" i="1"/>
  <c r="B827" i="1" s="1"/>
  <c r="B828" i="1" s="1"/>
  <c r="B829" i="1" s="1"/>
  <c r="B830" i="1" s="1"/>
  <c r="B831" i="1" s="1"/>
  <c r="C833" i="1" s="1"/>
  <c r="C820" i="1"/>
  <c r="C819" i="1"/>
  <c r="C821" i="1" s="1"/>
  <c r="C822" i="1" s="1"/>
  <c r="C815" i="1"/>
  <c r="A815" i="1"/>
  <c r="C814" i="1"/>
  <c r="C816" i="1" s="1"/>
  <c r="C817" i="1" s="1"/>
  <c r="C811" i="1"/>
  <c r="B797" i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C812" i="1" s="1"/>
  <c r="B796" i="1"/>
  <c r="C792" i="1"/>
  <c r="C787" i="1"/>
  <c r="A787" i="1"/>
  <c r="C786" i="1"/>
  <c r="C788" i="1" s="1"/>
  <c r="C789" i="1" s="1"/>
  <c r="C783" i="1"/>
  <c r="B770" i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67" i="1"/>
  <c r="B768" i="1" s="1"/>
  <c r="B769" i="1" s="1"/>
  <c r="C753" i="1"/>
  <c r="C754" i="1" s="1"/>
  <c r="C755" i="1" s="1"/>
  <c r="C752" i="1"/>
  <c r="C748" i="1"/>
  <c r="C747" i="1"/>
  <c r="C749" i="1" s="1"/>
  <c r="C750" i="1" s="1"/>
  <c r="C743" i="1"/>
  <c r="C738" i="1"/>
  <c r="C739" i="1" s="1"/>
  <c r="C740" i="1" s="1"/>
  <c r="A738" i="1"/>
  <c r="C737" i="1"/>
  <c r="C734" i="1"/>
  <c r="B722" i="1"/>
  <c r="B723" i="1" s="1"/>
  <c r="B724" i="1" s="1"/>
  <c r="B725" i="1" s="1"/>
  <c r="B726" i="1" s="1"/>
  <c r="B727" i="1" s="1"/>
  <c r="B728" i="1" s="1"/>
  <c r="B729" i="1" s="1"/>
  <c r="B730" i="1" s="1"/>
  <c r="B731" i="1" s="1"/>
  <c r="C716" i="1"/>
  <c r="C742" i="1" s="1"/>
  <c r="C715" i="1"/>
  <c r="C710" i="1"/>
  <c r="A710" i="1"/>
  <c r="C709" i="1"/>
  <c r="C711" i="1" s="1"/>
  <c r="C712" i="1" s="1"/>
  <c r="C706" i="1"/>
  <c r="B690" i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C707" i="1" s="1"/>
  <c r="B686" i="1"/>
  <c r="B687" i="1" s="1"/>
  <c r="B688" i="1" s="1"/>
  <c r="B689" i="1" s="1"/>
  <c r="C679" i="1"/>
  <c r="C680" i="1" s="1"/>
  <c r="C678" i="1"/>
  <c r="A678" i="1"/>
  <c r="C677" i="1"/>
  <c r="C674" i="1"/>
  <c r="B667" i="1"/>
  <c r="B668" i="1" s="1"/>
  <c r="B669" i="1" s="1"/>
  <c r="B670" i="1" s="1"/>
  <c r="B671" i="1" s="1"/>
  <c r="B672" i="1" s="1"/>
  <c r="B673" i="1" s="1"/>
  <c r="C675" i="1" s="1"/>
  <c r="C661" i="1"/>
  <c r="C658" i="1"/>
  <c r="C656" i="1"/>
  <c r="C650" i="1"/>
  <c r="A650" i="1"/>
  <c r="C649" i="1"/>
  <c r="C651" i="1" s="1"/>
  <c r="C652" i="1" s="1"/>
  <c r="C646" i="1"/>
  <c r="B643" i="1"/>
  <c r="B644" i="1" s="1"/>
  <c r="B645" i="1" s="1"/>
  <c r="C647" i="1" s="1"/>
  <c r="B642" i="1"/>
  <c r="C638" i="1"/>
  <c r="C655" i="1" s="1"/>
  <c r="C657" i="1" s="1"/>
  <c r="C637" i="1"/>
  <c r="C660" i="1" s="1"/>
  <c r="C632" i="1"/>
  <c r="A632" i="1"/>
  <c r="C631" i="1"/>
  <c r="C633" i="1" s="1"/>
  <c r="C634" i="1" s="1"/>
  <c r="C628" i="1"/>
  <c r="B626" i="1"/>
  <c r="B627" i="1" s="1"/>
  <c r="C629" i="1" s="1"/>
  <c r="C622" i="1"/>
  <c r="C621" i="1"/>
  <c r="C616" i="1"/>
  <c r="A616" i="1"/>
  <c r="C615" i="1"/>
  <c r="C617" i="1" s="1"/>
  <c r="C618" i="1" s="1"/>
  <c r="C612" i="1"/>
  <c r="B608" i="1"/>
  <c r="B609" i="1" s="1"/>
  <c r="B610" i="1" s="1"/>
  <c r="B611" i="1" s="1"/>
  <c r="C613" i="1" s="1"/>
  <c r="B607" i="1"/>
  <c r="B605" i="1"/>
  <c r="B606" i="1" s="1"/>
  <c r="C599" i="1"/>
  <c r="A599" i="1"/>
  <c r="C598" i="1"/>
  <c r="C600" i="1" s="1"/>
  <c r="C601" i="1" s="1"/>
  <c r="C595" i="1"/>
  <c r="B593" i="1"/>
  <c r="B594" i="1" s="1"/>
  <c r="C596" i="1" s="1"/>
  <c r="C585" i="1"/>
  <c r="C586" i="1" s="1"/>
  <c r="C580" i="1"/>
  <c r="C581" i="1" s="1"/>
  <c r="B571" i="1"/>
  <c r="B572" i="1" s="1"/>
  <c r="B573" i="1" s="1"/>
  <c r="B569" i="1"/>
  <c r="B570" i="1" s="1"/>
  <c r="C555" i="1"/>
  <c r="A555" i="1"/>
  <c r="C554" i="1"/>
  <c r="C556" i="1" s="1"/>
  <c r="C557" i="1" s="1"/>
  <c r="C551" i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C523" i="1"/>
  <c r="A523" i="1"/>
  <c r="C522" i="1"/>
  <c r="C524" i="1" s="1"/>
  <c r="C525" i="1" s="1"/>
  <c r="C520" i="1"/>
  <c r="C519" i="1"/>
  <c r="B516" i="1"/>
  <c r="B517" i="1" s="1"/>
  <c r="B518" i="1" s="1"/>
  <c r="C509" i="1"/>
  <c r="A509" i="1"/>
  <c r="C508" i="1"/>
  <c r="C510" i="1" s="1"/>
  <c r="C511" i="1" s="1"/>
  <c r="C505" i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C506" i="1" s="1"/>
  <c r="C479" i="1"/>
  <c r="A479" i="1"/>
  <c r="C478" i="1"/>
  <c r="C473" i="1" s="1"/>
  <c r="C476" i="1"/>
  <c r="C475" i="1"/>
  <c r="C474" i="1"/>
  <c r="A474" i="1"/>
  <c r="C470" i="1"/>
  <c r="B469" i="1"/>
  <c r="C471" i="1" s="1"/>
  <c r="B468" i="1"/>
  <c r="B459" i="1"/>
  <c r="B460" i="1" s="1"/>
  <c r="B461" i="1" s="1"/>
  <c r="B462" i="1" s="1"/>
  <c r="B463" i="1" s="1"/>
  <c r="B464" i="1" s="1"/>
  <c r="B465" i="1" s="1"/>
  <c r="B466" i="1" s="1"/>
  <c r="B467" i="1" s="1"/>
  <c r="C452" i="1"/>
  <c r="C453" i="1" s="1"/>
  <c r="C451" i="1"/>
  <c r="A451" i="1"/>
  <c r="C450" i="1"/>
  <c r="C447" i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C448" i="1" s="1"/>
  <c r="C406" i="1"/>
  <c r="A406" i="1"/>
  <c r="C405" i="1"/>
  <c r="C407" i="1" s="1"/>
  <c r="C408" i="1" s="1"/>
  <c r="C402" i="1"/>
  <c r="B385" i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C403" i="1" s="1"/>
  <c r="C378" i="1"/>
  <c r="C379" i="1" s="1"/>
  <c r="C377" i="1"/>
  <c r="C371" i="1"/>
  <c r="C372" i="1" s="1"/>
  <c r="C373" i="1" s="1"/>
  <c r="C367" i="1"/>
  <c r="C364" i="1"/>
  <c r="A364" i="1"/>
  <c r="C363" i="1"/>
  <c r="C365" i="1" s="1"/>
  <c r="C366" i="1" s="1"/>
  <c r="C359" i="1"/>
  <c r="B340" i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C332" i="1"/>
  <c r="C329" i="1"/>
  <c r="A329" i="1"/>
  <c r="C328" i="1"/>
  <c r="C330" i="1" s="1"/>
  <c r="C331" i="1" s="1"/>
  <c r="C324" i="1"/>
  <c r="B275" i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C325" i="1" s="1"/>
  <c r="B274" i="1"/>
  <c r="C266" i="1"/>
  <c r="C263" i="1"/>
  <c r="C264" i="1" s="1"/>
  <c r="C265" i="1" s="1"/>
  <c r="A263" i="1"/>
  <c r="C262" i="1"/>
  <c r="C258" i="1"/>
  <c r="B231" i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C259" i="1" s="1"/>
  <c r="C224" i="1"/>
  <c r="C221" i="1"/>
  <c r="C222" i="1" s="1"/>
  <c r="C223" i="1" s="1"/>
  <c r="A221" i="1"/>
  <c r="C220" i="1"/>
  <c r="C216" i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C217" i="1" s="1"/>
  <c r="C179" i="1"/>
  <c r="A170" i="1"/>
  <c r="C170" i="1" s="1"/>
  <c r="C168" i="1"/>
  <c r="A168" i="1"/>
  <c r="C166" i="1"/>
  <c r="A166" i="1"/>
  <c r="A165" i="1"/>
  <c r="C163" i="1"/>
  <c r="A163" i="1"/>
  <c r="A162" i="1"/>
  <c r="A161" i="1"/>
  <c r="A159" i="1"/>
  <c r="C159" i="1" s="1"/>
  <c r="A157" i="1"/>
  <c r="C157" i="1" s="1"/>
  <c r="A155" i="1"/>
  <c r="C155" i="1" s="1"/>
  <c r="A153" i="1"/>
  <c r="C153" i="1" s="1"/>
  <c r="A151" i="1"/>
  <c r="C151" i="1" s="1"/>
  <c r="A148" i="1"/>
  <c r="C148" i="1" s="1"/>
  <c r="A146" i="1"/>
  <c r="C175" i="1" s="1"/>
  <c r="A144" i="1"/>
  <c r="C144" i="1" s="1"/>
  <c r="B143" i="1"/>
  <c r="C136" i="1"/>
  <c r="A127" i="1"/>
  <c r="C133" i="1" s="1"/>
  <c r="A125" i="1"/>
  <c r="C125" i="1" s="1"/>
  <c r="A123" i="1"/>
  <c r="C123" i="1" s="1"/>
  <c r="B122" i="1"/>
  <c r="B123" i="1" s="1"/>
  <c r="B124" i="1" s="1"/>
  <c r="B125" i="1" s="1"/>
  <c r="B126" i="1" s="1"/>
  <c r="B127" i="1" s="1"/>
  <c r="C129" i="1" s="1"/>
  <c r="C114" i="1"/>
  <c r="C105" i="1"/>
  <c r="A105" i="1"/>
  <c r="A103" i="1"/>
  <c r="C103" i="1" s="1"/>
  <c r="A101" i="1"/>
  <c r="C101" i="1" s="1"/>
  <c r="A99" i="1"/>
  <c r="A98" i="1"/>
  <c r="A95" i="1"/>
  <c r="C95" i="1" s="1"/>
  <c r="A93" i="1"/>
  <c r="C93" i="1" s="1"/>
  <c r="A91" i="1"/>
  <c r="C91" i="1" s="1"/>
  <c r="A89" i="1"/>
  <c r="C89" i="1" s="1"/>
  <c r="A87" i="1"/>
  <c r="C87" i="1" s="1"/>
  <c r="A84" i="1"/>
  <c r="C84" i="1" s="1"/>
  <c r="B83" i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C107" i="1" s="1"/>
  <c r="C70" i="1"/>
  <c r="C67" i="1"/>
  <c r="A67" i="1"/>
  <c r="C66" i="1"/>
  <c r="C68" i="1" s="1"/>
  <c r="C69" i="1" s="1"/>
  <c r="C64" i="1"/>
  <c r="C62" i="1"/>
  <c r="A62" i="1"/>
  <c r="C61" i="1"/>
  <c r="C63" i="1" s="1"/>
  <c r="C57" i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C58" i="1" s="1"/>
  <c r="B2" i="1"/>
  <c r="B357" i="1" l="1"/>
  <c r="B358" i="1" s="1"/>
  <c r="C360" i="1"/>
  <c r="C552" i="1"/>
  <c r="B549" i="1"/>
  <c r="B550" i="1" s="1"/>
  <c r="C177" i="1"/>
  <c r="C178" i="1" s="1"/>
  <c r="C784" i="1"/>
  <c r="B782" i="1"/>
  <c r="C106" i="1"/>
  <c r="C852" i="1"/>
  <c r="B846" i="1"/>
  <c r="B847" i="1" s="1"/>
  <c r="B848" i="1" s="1"/>
  <c r="B849" i="1" s="1"/>
  <c r="B850" i="1" s="1"/>
  <c r="C132" i="1"/>
  <c r="C134" i="1" s="1"/>
  <c r="C135" i="1" s="1"/>
  <c r="A111" i="1"/>
  <c r="C110" i="1"/>
  <c r="C112" i="1" s="1"/>
  <c r="C113" i="1" s="1"/>
  <c r="C735" i="1"/>
  <c r="B732" i="1"/>
  <c r="B733" i="1" s="1"/>
  <c r="C127" i="1"/>
  <c r="C128" i="1" s="1"/>
  <c r="C176" i="1"/>
  <c r="C111" i="1"/>
  <c r="C146" i="1"/>
  <c r="A176" i="1" s="1"/>
  <c r="C662" i="1"/>
  <c r="C663" i="1" s="1"/>
  <c r="C99" i="1"/>
  <c r="A133" i="1"/>
  <c r="C855" i="1"/>
  <c r="C856" i="1" s="1"/>
  <c r="C857" i="1" s="1"/>
  <c r="C171" i="1"/>
  <c r="C744" i="1"/>
  <c r="C745" i="1" s="1"/>
  <c r="A753" i="1"/>
  <c r="C837" i="1"/>
  <c r="C838" i="1" s="1"/>
  <c r="C902" i="1"/>
  <c r="C903" i="1"/>
  <c r="C480" i="1"/>
  <c r="C481" i="1" s="1"/>
  <c r="C832" i="1"/>
  <c r="C968" i="1"/>
  <c r="C969" i="1" s="1"/>
  <c r="B144" i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C172" i="1" s="1"/>
  <c r="C1616" i="1"/>
  <c r="C1617" i="1" s="1"/>
  <c r="C1587" i="1"/>
  <c r="C1589" i="1" s="1"/>
  <c r="C1590" i="1" s="1"/>
  <c r="C1594" i="1"/>
  <c r="C1595" i="1" s="1"/>
  <c r="C1896" i="1"/>
  <c r="C1895" i="1"/>
  <c r="C1897" i="1" s="1"/>
  <c r="C1898" i="1" s="1"/>
  <c r="C904" i="1" l="1"/>
  <c r="C905" i="1" s="1"/>
</calcChain>
</file>

<file path=xl/sharedStrings.xml><?xml version="1.0" encoding="utf-8"?>
<sst xmlns="http://schemas.openxmlformats.org/spreadsheetml/2006/main" count="1040" uniqueCount="244">
  <si>
    <t>2026.04.02</t>
  </si>
  <si>
    <t>損益</t>
  </si>
  <si>
    <t xml:space="preserve">合計 </t>
  </si>
  <si>
    <t>核驗</t>
  </si>
  <si>
    <t>2026.04.02當沖</t>
  </si>
  <si>
    <t>買</t>
  </si>
  <si>
    <t>賣</t>
  </si>
  <si>
    <t>當日損益</t>
  </si>
  <si>
    <t>當日損益 %</t>
  </si>
  <si>
    <t>2026.04.02 當沖</t>
  </si>
  <si>
    <t>累積留倉   200股</t>
  </si>
  <si>
    <t>2026.02.27 留倉</t>
  </si>
  <si>
    <t>買 100股</t>
  </si>
  <si>
    <t>2026.03.05 留倉</t>
  </si>
  <si>
    <t>2026.04.06</t>
  </si>
  <si>
    <t>2026.04.06當沖</t>
  </si>
  <si>
    <t>2026.04.07</t>
  </si>
  <si>
    <t>2026.04.07當沖</t>
  </si>
  <si>
    <t>2026.04.08</t>
  </si>
  <si>
    <t>2026.04.08當沖</t>
  </si>
  <si>
    <t>2026.04.09</t>
  </si>
  <si>
    <t>2026.04.09當沖</t>
  </si>
  <si>
    <t>2026.04.10</t>
  </si>
  <si>
    <t>2026.04.10當沖</t>
  </si>
  <si>
    <t>2026.04.13</t>
  </si>
  <si>
    <t>2026.04.13當沖</t>
  </si>
  <si>
    <t>2026.04.14</t>
  </si>
  <si>
    <t>2026.04.14當沖</t>
  </si>
  <si>
    <t>買入100股</t>
  </si>
  <si>
    <t>2026.03.20 配息</t>
  </si>
  <si>
    <t>@1.796999*0.7</t>
  </si>
  <si>
    <t>2026.04.14 平倉</t>
  </si>
  <si>
    <t>出售100股</t>
  </si>
  <si>
    <t>平倉損益</t>
  </si>
  <si>
    <t>平倉損益 %</t>
  </si>
  <si>
    <t>累積留倉   0</t>
  </si>
  <si>
    <t>2026.04.15</t>
  </si>
  <si>
    <t>2026.04.15當沖</t>
  </si>
  <si>
    <t>2026.04.16</t>
  </si>
  <si>
    <t>2026.04.16當沖</t>
  </si>
  <si>
    <t>2026.04.17</t>
  </si>
  <si>
    <t>2026.04.17當沖</t>
  </si>
  <si>
    <t>2026.04.17 當沖</t>
  </si>
  <si>
    <t>2026.04.20</t>
  </si>
  <si>
    <t>無當沖</t>
  </si>
  <si>
    <t>2026.04.21</t>
  </si>
  <si>
    <t>2026.04.21當沖</t>
  </si>
  <si>
    <t>2026.04.22</t>
  </si>
  <si>
    <t>2026.04.22當沖</t>
  </si>
  <si>
    <t>2026.04.23</t>
  </si>
  <si>
    <t>2026.04.23當沖</t>
  </si>
  <si>
    <t>2026.04.23 留倉</t>
  </si>
  <si>
    <t>2026.04.24</t>
  </si>
  <si>
    <t>2026.04.24無當沖</t>
  </si>
  <si>
    <t>2026.04.23買入</t>
  </si>
  <si>
    <t>100股</t>
  </si>
  <si>
    <t>2026.04.24平倉</t>
  </si>
  <si>
    <t>2026.04.27</t>
  </si>
  <si>
    <t>2026.04.27當沖</t>
  </si>
  <si>
    <t>2026.04.28</t>
  </si>
  <si>
    <t>2026.04.28當沖</t>
  </si>
  <si>
    <t>2026.04.28 留倉</t>
  </si>
  <si>
    <t>2026.04.29</t>
  </si>
  <si>
    <t>2026.04.29當沖</t>
  </si>
  <si>
    <t>2026.04.30</t>
  </si>
  <si>
    <t>2026.04.30當沖</t>
  </si>
  <si>
    <t>2026.04.28買入</t>
  </si>
  <si>
    <t>2026.04.30平倉</t>
  </si>
  <si>
    <t>2026.05.01</t>
  </si>
  <si>
    <t>2026.05.04</t>
  </si>
  <si>
    <t>2026.05.04當沖</t>
  </si>
  <si>
    <t>2026.05.04 留倉</t>
  </si>
  <si>
    <t>2026.05.05當沖</t>
  </si>
  <si>
    <t>2026.05.04買入</t>
  </si>
  <si>
    <t>2026.05.05平倉</t>
  </si>
  <si>
    <t>2026.05.05 當沖</t>
  </si>
  <si>
    <t>2026.05.06</t>
  </si>
  <si>
    <t>2026.05.07</t>
  </si>
  <si>
    <t>2026.05.07當沖</t>
  </si>
  <si>
    <t>累積留倉   100股</t>
  </si>
  <si>
    <t>2026.05.07 留倉</t>
  </si>
  <si>
    <t>2026.05.08</t>
  </si>
  <si>
    <t>2026.05.08當沖</t>
  </si>
  <si>
    <t>2026.05.07買入</t>
  </si>
  <si>
    <t>2026.05.08平倉</t>
  </si>
  <si>
    <t>2026.05.11</t>
  </si>
  <si>
    <t>2026.05.11當沖</t>
  </si>
  <si>
    <t>2026.05.12</t>
  </si>
  <si>
    <t>2026.05.12當沖</t>
  </si>
  <si>
    <t>2026.05.12 留倉</t>
  </si>
  <si>
    <t>2026.05.13</t>
  </si>
  <si>
    <t>2026.05.13當沖</t>
  </si>
  <si>
    <t>2026.05.12買入</t>
  </si>
  <si>
    <t>2026.05.13平倉</t>
  </si>
  <si>
    <t>2026.05.14</t>
  </si>
  <si>
    <t>2026.05.14當沖</t>
  </si>
  <si>
    <t>2026.05.15</t>
  </si>
  <si>
    <t>2026.05.15當沖</t>
  </si>
  <si>
    <t>2026.05.15 留倉</t>
  </si>
  <si>
    <t>2026.05.18</t>
  </si>
  <si>
    <t>2026.05.18當沖</t>
  </si>
  <si>
    <t>2026.05.19</t>
  </si>
  <si>
    <t>2026.05.20</t>
  </si>
  <si>
    <t>2026.05.20當沖</t>
  </si>
  <si>
    <t>2026.05.21</t>
  </si>
  <si>
    <t>2026.05.21當沖</t>
  </si>
  <si>
    <t>2026.05.22</t>
  </si>
  <si>
    <t>2026.05.22無當沖</t>
  </si>
  <si>
    <t>2026.05.15買入</t>
  </si>
  <si>
    <t>2026.05.22平倉</t>
  </si>
  <si>
    <t>2026.05.26</t>
  </si>
  <si>
    <t>2026.05.26當沖</t>
  </si>
  <si>
    <t>2026.05.27</t>
  </si>
  <si>
    <t>2026.05.27當沖</t>
  </si>
  <si>
    <t>當沖損益</t>
  </si>
  <si>
    <t>當沖損益 %</t>
  </si>
  <si>
    <t>2026.05.27 留倉</t>
  </si>
  <si>
    <t>2026.05.28</t>
  </si>
  <si>
    <t>2026.05.28當沖</t>
  </si>
  <si>
    <t>2026.05.27買入</t>
  </si>
  <si>
    <t>2026.05.28平倉</t>
  </si>
  <si>
    <t>2026.05.29</t>
  </si>
  <si>
    <t>2026.05.29當沖</t>
  </si>
  <si>
    <t>2026.06.03</t>
  </si>
  <si>
    <t>2026.06.03當沖</t>
  </si>
  <si>
    <t>2026.06.04</t>
  </si>
  <si>
    <t>2026.06.04當沖</t>
  </si>
  <si>
    <t>2026.06.05</t>
  </si>
  <si>
    <t>2026.06.05當沖</t>
  </si>
  <si>
    <t>累積留倉   300股</t>
  </si>
  <si>
    <t>2026.06.05 留倉</t>
  </si>
  <si>
    <t>2026.06.08</t>
  </si>
  <si>
    <t>2026.06.08當沖</t>
  </si>
  <si>
    <t>2026.06.05買入</t>
  </si>
  <si>
    <t>2026.06.08平倉</t>
  </si>
  <si>
    <t>2026.06.09</t>
  </si>
  <si>
    <t>2026.06.09當沖</t>
  </si>
  <si>
    <t>2026.06.09 留倉</t>
  </si>
  <si>
    <t>2026.06.10</t>
  </si>
  <si>
    <t>2026.06.10當沖</t>
  </si>
  <si>
    <t>2026.06.11</t>
  </si>
  <si>
    <t>2026.06.11當沖</t>
  </si>
  <si>
    <t>累積留倉   400股</t>
  </si>
  <si>
    <t>2026.06.11 留倉</t>
  </si>
  <si>
    <t>2026.06.12</t>
  </si>
  <si>
    <t>2026.06.12當沖</t>
  </si>
  <si>
    <t>當沖損益金額</t>
  </si>
  <si>
    <t>當沖損益金額 %</t>
  </si>
  <si>
    <t>累積留倉　400股</t>
  </si>
  <si>
    <t>2026.06.15</t>
  </si>
  <si>
    <t>2026.06.15當沖</t>
  </si>
  <si>
    <t>當沖損益總額</t>
  </si>
  <si>
    <t>當沖損益總額 %</t>
  </si>
  <si>
    <t>2026.06.11 留倉 → 2026.06.15 平倉</t>
  </si>
  <si>
    <t>買入 100股</t>
  </si>
  <si>
    <t>平倉 100股</t>
  </si>
  <si>
    <t>損益 %</t>
  </si>
  <si>
    <t>2026.06.09 留倉 → 2026.06.15 平倉</t>
  </si>
  <si>
    <t>2026.06.05 留倉 → 2026.06.15 平倉</t>
  </si>
  <si>
    <t>2026.06.16</t>
  </si>
  <si>
    <t>2026.06.16當沖</t>
  </si>
  <si>
    <t>2026.06.16 留倉</t>
  </si>
  <si>
    <t>2026.06.17</t>
  </si>
  <si>
    <t>2026.06.17當沖</t>
  </si>
  <si>
    <t>2026.06.18</t>
  </si>
  <si>
    <t>2026.06.18當沖</t>
  </si>
  <si>
    <t>2026.06.22</t>
  </si>
  <si>
    <t>2026.06.22當沖</t>
  </si>
  <si>
    <t>2026.06.23</t>
  </si>
  <si>
    <t>2026.06.23當沖</t>
  </si>
  <si>
    <t>2026.06.24</t>
  </si>
  <si>
    <t>2026.06.24當沖</t>
  </si>
  <si>
    <t>2026.06.24 當沖</t>
  </si>
  <si>
    <t>2026.06.25</t>
  </si>
  <si>
    <t>2026.06.25當沖</t>
  </si>
  <si>
    <t>2026.06.26</t>
  </si>
  <si>
    <t>2026.06.26當沖</t>
  </si>
  <si>
    <t>2026.06.29</t>
  </si>
  <si>
    <t>2026.06.29當沖</t>
  </si>
  <si>
    <t>2026.06.30</t>
  </si>
  <si>
    <t>2026.06.30當沖</t>
  </si>
  <si>
    <t>2026.07.01</t>
  </si>
  <si>
    <t>2026.07.01當沖</t>
  </si>
  <si>
    <t>2026.07.02</t>
  </si>
  <si>
    <t>2026.07.02當沖</t>
  </si>
  <si>
    <t>2026.07.06</t>
  </si>
  <si>
    <t>2026.07.06當沖</t>
  </si>
  <si>
    <t>2026.07.07</t>
  </si>
  <si>
    <t>2026.07.07當沖</t>
  </si>
  <si>
    <t>2026.07.08</t>
  </si>
  <si>
    <t>2026.07.08當沖</t>
  </si>
  <si>
    <t>2026.07.09</t>
  </si>
  <si>
    <t>本日平倉 06.16 留倉 100股</t>
  </si>
  <si>
    <t>2026.07.09當沖</t>
  </si>
  <si>
    <t>2026.06.18 配息</t>
  </si>
  <si>
    <t>2026.07.09 平倉</t>
  </si>
  <si>
    <t>賣100股</t>
  </si>
  <si>
    <t>2026.07.10</t>
  </si>
  <si>
    <t>2026.07.10當沖</t>
  </si>
  <si>
    <t>2026.07.13</t>
  </si>
  <si>
    <t>2026.07.13當沖</t>
  </si>
  <si>
    <t>2026.07.14</t>
  </si>
  <si>
    <t>2026.07.14當沖</t>
  </si>
  <si>
    <t>2026.07.15</t>
  </si>
  <si>
    <t>2026.07.15當沖</t>
  </si>
  <si>
    <t>2026.07.16</t>
  </si>
  <si>
    <t>2026.07.16當沖</t>
  </si>
  <si>
    <t>2026.07.16 當沖</t>
  </si>
  <si>
    <t>2026.07.16 留倉</t>
  </si>
  <si>
    <t>07/17(五)</t>
  </si>
  <si>
    <t>2026.07.17當沖</t>
  </si>
  <si>
    <t>2026.07.20</t>
  </si>
  <si>
    <t>2026.07.20當沖</t>
  </si>
  <si>
    <t>2026.07.21</t>
  </si>
  <si>
    <t>2026.07.21當沖</t>
  </si>
  <si>
    <t>2026.07.22</t>
  </si>
  <si>
    <t>2026.07.22當沖</t>
  </si>
  <si>
    <t>2026.07.23</t>
  </si>
  <si>
    <t>2026.07.23當沖</t>
  </si>
  <si>
    <t>2026.07.24</t>
  </si>
  <si>
    <t>2026.07.24當沖</t>
  </si>
  <si>
    <t>2026.07.27</t>
  </si>
  <si>
    <t>2026.07.27當沖</t>
  </si>
  <si>
    <t>2026.07.28</t>
  </si>
  <si>
    <t>2026.07.28當沖</t>
  </si>
  <si>
    <t>2026.07.29</t>
  </si>
  <si>
    <t>2026.07.29當沖</t>
  </si>
  <si>
    <t>2026.07.30</t>
  </si>
  <si>
    <t>2026.07.30當沖</t>
  </si>
  <si>
    <t>2026.07.31</t>
  </si>
  <si>
    <t>2026.07.31當沖</t>
  </si>
  <si>
    <t>2026.08.03</t>
  </si>
  <si>
    <t>2026.08.03 平倉</t>
  </si>
  <si>
    <t>賣 100股</t>
  </si>
  <si>
    <t>留倉損益</t>
  </si>
  <si>
    <t>留倉損益 %</t>
  </si>
  <si>
    <t>2026.08.04</t>
  </si>
  <si>
    <t>2026.08.04當沖</t>
  </si>
  <si>
    <t>2026.08.05</t>
  </si>
  <si>
    <t>2026.08.05當沖</t>
  </si>
  <si>
    <t>2026.08.06</t>
  </si>
  <si>
    <t>2026.08.06當沖</t>
  </si>
  <si>
    <t>日期</t>
  </si>
  <si>
    <t>累積損益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</si>
</sst>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-* #,##0.00_-;\-* #,##0.00_-;_-* &quot;-&quot;??_-;_-@_-"/>
    <numFmt numFmtId="176" formatCode="#,##0.00_);[Red]\(#,##0.00\)"/>
    <numFmt numFmtId="177" formatCode="0.00_);[Red]\(0.00\)"/>
    <numFmt numFmtId="178" formatCode="0.00%;[Red]\-0.00%"/>
    <numFmt numFmtId="179" formatCode="0.0000"/>
    <numFmt numFmtId="180" formatCode="m&quot;月&quot;d&quot;日&quot;"/>
    <numFmt numFmtId="181" formatCode="yyyy\-mm\-dd\ h:mm:ss"/>
  </numFmts>
  <fonts count="15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0.5"/>
      <color theme="1"/>
      <name val="Segoe UI"/>
      <family val="2"/>
    </font>
    <font>
      <sz val="12"/>
      <color theme="1"/>
      <name val="新細明體"/>
      <family val="1"/>
      <charset val="136"/>
      <scheme val="minor"/>
    </font>
    <font>
      <sz val="10"/>
      <name val="Arial"/>
      <family val="2"/>
    </font>
    <font>
      <sz val="12"/>
      <name val="新細明體"/>
      <family val="1"/>
      <charset val="136"/>
      <scheme val="minor"/>
    </font>
    <font>
      <sz val="10"/>
      <color theme="1"/>
      <name val="Arial"/>
      <family val="2"/>
    </font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b/>
      <sz val="10"/>
      <color rgb="FF006400"/>
      <name val="Arial"/>
      <family val="2"/>
    </font>
    <font>
      <b/>
      <sz val="10"/>
      <color rgb="FFCC0000"/>
      <name val="Arial"/>
      <family val="2"/>
    </font>
    <font>
      <b/>
      <sz val="12"/>
      <color theme="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>
      <alignment vertical="center"/>
    </xf>
    <xf numFmtId="9" fontId="1" fillId="0" borderId="0">
      <alignment vertical="center"/>
    </xf>
    <xf numFmtId="0" fontId="9" fillId="0" borderId="0"/>
  </cellStyleXfs>
  <cellXfs count="68">
    <xf numFmtId="0" fontId="0" fillId="0" borderId="0" xfId="0"/>
    <xf numFmtId="4" fontId="6" fillId="2" borderId="0" xfId="0" applyNumberFormat="1" applyFont="1" applyFill="1" applyAlignment="1">
      <alignment horizontal="center"/>
    </xf>
    <xf numFmtId="4" fontId="6" fillId="0" borderId="0" xfId="0" applyNumberFormat="1" applyFont="1" applyAlignment="1">
      <alignment horizontal="center"/>
    </xf>
    <xf numFmtId="4" fontId="6" fillId="3" borderId="0" xfId="0" applyNumberFormat="1" applyFont="1" applyFill="1" applyAlignment="1">
      <alignment horizontal="center"/>
    </xf>
    <xf numFmtId="4" fontId="6" fillId="4" borderId="0" xfId="0" applyNumberFormat="1" applyFont="1" applyFill="1" applyAlignment="1">
      <alignment horizontal="center"/>
    </xf>
    <xf numFmtId="0" fontId="8" fillId="0" borderId="0" xfId="0" applyFont="1" applyAlignment="1">
      <alignment wrapText="1"/>
    </xf>
    <xf numFmtId="4" fontId="6" fillId="0" borderId="0" xfId="3" applyNumberFormat="1" applyFont="1" applyAlignment="1">
      <alignment horizontal="center"/>
    </xf>
    <xf numFmtId="4" fontId="8" fillId="0" borderId="2" xfId="0" applyNumberFormat="1" applyFont="1" applyBorder="1" applyAlignment="1">
      <alignment horizontal="center" wrapText="1"/>
    </xf>
    <xf numFmtId="4" fontId="8" fillId="5" borderId="2" xfId="0" applyNumberFormat="1" applyFont="1" applyFill="1" applyBorder="1" applyAlignment="1">
      <alignment horizontal="center" wrapText="1"/>
    </xf>
    <xf numFmtId="0" fontId="8" fillId="0" borderId="2" xfId="0" applyFont="1" applyBorder="1" applyAlignment="1">
      <alignment horizontal="center" wrapText="1"/>
    </xf>
    <xf numFmtId="4" fontId="8" fillId="6" borderId="2" xfId="0" applyNumberFormat="1" applyFont="1" applyFill="1" applyBorder="1" applyAlignment="1">
      <alignment horizontal="center" wrapText="1"/>
    </xf>
    <xf numFmtId="0" fontId="0" fillId="0" borderId="0" xfId="0" quotePrefix="1" applyAlignment="1">
      <alignment vertical="center"/>
    </xf>
    <xf numFmtId="0" fontId="10" fillId="0" borderId="0" xfId="0" applyFont="1" applyAlignment="1">
      <alignment wrapText="1"/>
    </xf>
    <xf numFmtId="0" fontId="6" fillId="0" borderId="0" xfId="0" applyFont="1" applyAlignment="1">
      <alignment horizontal="center"/>
    </xf>
    <xf numFmtId="4" fontId="11" fillId="0" borderId="0" xfId="0" applyNumberFormat="1" applyFont="1" applyAlignment="1">
      <alignment horizontal="center"/>
    </xf>
    <xf numFmtId="4" fontId="12" fillId="0" borderId="0" xfId="0" applyNumberFormat="1" applyFont="1" applyAlignment="1">
      <alignment horizontal="center"/>
    </xf>
    <xf numFmtId="4" fontId="6" fillId="6" borderId="0" xfId="0" applyNumberFormat="1" applyFont="1" applyFill="1" applyAlignment="1">
      <alignment horizontal="center"/>
    </xf>
    <xf numFmtId="0" fontId="6" fillId="0" borderId="0" xfId="3" applyFont="1" applyAlignment="1">
      <alignment horizontal="center"/>
    </xf>
    <xf numFmtId="4" fontId="11" fillId="0" borderId="0" xfId="3" applyNumberFormat="1" applyFont="1" applyAlignment="1">
      <alignment horizontal="center"/>
    </xf>
    <xf numFmtId="4" fontId="6" fillId="6" borderId="0" xfId="3" applyNumberFormat="1" applyFont="1" applyFill="1" applyAlignment="1">
      <alignment horizontal="center"/>
    </xf>
    <xf numFmtId="4" fontId="12" fillId="0" borderId="0" xfId="3" applyNumberFormat="1" applyFont="1" applyAlignment="1">
      <alignment horizontal="center"/>
    </xf>
    <xf numFmtId="4" fontId="11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11" fillId="8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wrapText="1"/>
    </xf>
    <xf numFmtId="4" fontId="6" fillId="9" borderId="0" xfId="0" applyNumberFormat="1" applyFont="1" applyFill="1" applyAlignment="1">
      <alignment horizontal="center"/>
    </xf>
    <xf numFmtId="0" fontId="6" fillId="9" borderId="0" xfId="0" applyFont="1" applyFill="1" applyAlignment="1">
      <alignment horizontal="center"/>
    </xf>
    <xf numFmtId="4" fontId="8" fillId="7" borderId="0" xfId="0" applyNumberFormat="1" applyFont="1" applyFill="1" applyAlignment="1">
      <alignment wrapText="1"/>
    </xf>
    <xf numFmtId="0" fontId="0" fillId="7" borderId="0" xfId="0" applyFill="1" applyAlignment="1">
      <alignment vertical="center"/>
    </xf>
    <xf numFmtId="4" fontId="0" fillId="6" borderId="0" xfId="0" applyNumberFormat="1" applyFill="1" applyAlignment="1">
      <alignment vertical="center"/>
    </xf>
    <xf numFmtId="0" fontId="0" fillId="6" borderId="0" xfId="0" applyFill="1" applyAlignment="1">
      <alignment vertical="center"/>
    </xf>
    <xf numFmtId="4" fontId="8" fillId="6" borderId="0" xfId="0" applyNumberFormat="1" applyFont="1" applyFill="1" applyAlignment="1">
      <alignment wrapText="1"/>
    </xf>
    <xf numFmtId="4" fontId="0" fillId="7" borderId="0" xfId="0" applyNumberFormat="1" applyFill="1" applyAlignment="1">
      <alignment vertical="center"/>
    </xf>
    <xf numFmtId="4" fontId="0" fillId="0" borderId="0" xfId="0" applyNumberFormat="1" applyAlignment="1">
      <alignment vertical="center"/>
    </xf>
    <xf numFmtId="0" fontId="5" fillId="10" borderId="3" xfId="0" applyFont="1" applyFill="1" applyBorder="1" applyAlignment="1">
      <alignment vertical="center"/>
    </xf>
    <xf numFmtId="0" fontId="13" fillId="11" borderId="3" xfId="0" applyFont="1" applyFill="1" applyBorder="1" applyAlignment="1">
      <alignment vertical="center"/>
    </xf>
    <xf numFmtId="10" fontId="5" fillId="0" borderId="0" xfId="2" applyNumberFormat="1" applyFont="1" applyAlignment="1">
      <alignment vertical="center"/>
    </xf>
    <xf numFmtId="2" fontId="0" fillId="0" borderId="0" xfId="0" applyNumberFormat="1"/>
    <xf numFmtId="10" fontId="1" fillId="0" borderId="0" xfId="2" applyNumberFormat="1" applyAlignment="1">
      <alignment vertical="center"/>
    </xf>
    <xf numFmtId="10" fontId="1" fillId="0" borderId="0" xfId="0" applyNumberFormat="1" applyFont="1"/>
    <xf numFmtId="0" fontId="1" fillId="0" borderId="0" xfId="0" applyFont="1"/>
    <xf numFmtId="0" fontId="0" fillId="0" borderId="0" xfId="0" applyAlignment="1">
      <alignment vertical="center"/>
    </xf>
    <xf numFmtId="10" fontId="14" fillId="0" borderId="0" xfId="0" applyNumberFormat="1" applyFont="1"/>
    <xf numFmtId="14" fontId="0" fillId="0" borderId="0" xfId="0" applyNumberFormat="1"/>
    <xf numFmtId="0" fontId="0" fillId="0" borderId="0" xfId="0"/>
    <xf numFmtId="10" fontId="0" fillId="0" borderId="0" xfId="0" applyNumberFormat="1"/>
    <xf numFmtId="176" fontId="2" fillId="0" borderId="0" xfId="0" applyNumberFormat="1" applyFont="1" applyAlignment="1">
      <alignment horizontal="center" vertical="center" wrapText="1"/>
    </xf>
    <xf numFmtId="176" fontId="4" fillId="0" borderId="0" xfId="0" applyNumberFormat="1" applyFont="1" applyAlignment="1">
      <alignment vertical="center" wrapText="1"/>
    </xf>
    <xf numFmtId="177" fontId="5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vertical="center"/>
    </xf>
    <xf numFmtId="176" fontId="5" fillId="0" borderId="0" xfId="1" applyNumberFormat="1" applyFont="1" applyAlignment="1">
      <alignment vertical="center"/>
    </xf>
    <xf numFmtId="176" fontId="5" fillId="0" borderId="1" xfId="1" applyNumberFormat="1" applyFont="1" applyBorder="1" applyAlignment="1">
      <alignment vertical="center"/>
    </xf>
    <xf numFmtId="176" fontId="7" fillId="0" borderId="0" xfId="1" applyNumberFormat="1" applyFont="1" applyAlignment="1">
      <alignment vertical="center"/>
    </xf>
    <xf numFmtId="178" fontId="5" fillId="0" borderId="0" xfId="2" applyNumberFormat="1" applyFont="1" applyAlignment="1">
      <alignment vertical="center"/>
    </xf>
    <xf numFmtId="177" fontId="5" fillId="0" borderId="0" xfId="0" applyNumberFormat="1" applyFont="1" applyAlignment="1">
      <alignment horizontal="right" vertical="center"/>
    </xf>
    <xf numFmtId="176" fontId="4" fillId="6" borderId="0" xfId="0" applyNumberFormat="1" applyFont="1" applyFill="1" applyAlignment="1">
      <alignment vertical="center" wrapText="1"/>
    </xf>
    <xf numFmtId="176" fontId="4" fillId="9" borderId="0" xfId="0" applyNumberFormat="1" applyFont="1" applyFill="1" applyAlignment="1">
      <alignment vertical="center" wrapText="1"/>
    </xf>
    <xf numFmtId="176" fontId="4" fillId="7" borderId="0" xfId="0" applyNumberFormat="1" applyFont="1" applyFill="1" applyAlignment="1">
      <alignment vertical="center" wrapText="1"/>
    </xf>
    <xf numFmtId="177" fontId="0" fillId="0" borderId="0" xfId="0" applyNumberFormat="1"/>
    <xf numFmtId="43" fontId="0" fillId="0" borderId="0" xfId="1" applyFont="1" applyAlignment="1"/>
    <xf numFmtId="176" fontId="0" fillId="0" borderId="0" xfId="1" applyNumberFormat="1" applyFont="1" applyAlignment="1"/>
    <xf numFmtId="179" fontId="0" fillId="0" borderId="0" xfId="0" applyNumberFormat="1" applyAlignment="1">
      <alignment horizontal="left"/>
    </xf>
    <xf numFmtId="177" fontId="1" fillId="0" borderId="0" xfId="0" applyNumberFormat="1" applyFont="1"/>
    <xf numFmtId="176" fontId="0" fillId="0" borderId="0" xfId="0" applyNumberFormat="1"/>
    <xf numFmtId="180" fontId="0" fillId="0" borderId="0" xfId="0" applyNumberFormat="1" applyAlignment="1">
      <alignment vertical="center"/>
    </xf>
    <xf numFmtId="181" fontId="0" fillId="0" borderId="0" xfId="0" applyNumberFormat="1"/>
    <xf numFmtId="181" fontId="1" fillId="0" borderId="0" xfId="0" applyNumberFormat="1" applyFont="1"/>
    <xf numFmtId="181" fontId="0" fillId="0" borderId="0" xfId="0" applyNumberFormat="1"/>
  </cellXfs>
  <cellStyles count="4">
    <cellStyle name="一般" xfId="0" builtinId="0"/>
    <cellStyle name="一般 11" xfId="3"/>
    <cellStyle name="千分位" xfId="1" builtinId="3"/>
    <cellStyle name="百分比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164053</xdr:colOff>
      <xdr:row>16</xdr:row>
      <xdr:rowOff>114784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251653" cy="34675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74"/>
  <sheetViews>
    <sheetView topLeftCell="A2445" workbookViewId="0">
      <selection activeCell="M2471" sqref="M2471"/>
    </sheetView>
  </sheetViews>
  <sheetFormatPr defaultRowHeight="16.5"/>
  <cols>
    <col min="1" max="1" width="16.875" style="44" customWidth="1"/>
    <col min="2" max="2" width="17.125" style="44" customWidth="1"/>
    <col min="3" max="3" width="17.875" style="44" customWidth="1"/>
  </cols>
  <sheetData>
    <row r="1" spans="1:3" ht="30" customHeight="1">
      <c r="A1" s="46" t="s">
        <v>0</v>
      </c>
      <c r="B1" s="47">
        <v>-39368.26</v>
      </c>
      <c r="C1" s="48" t="s">
        <v>1</v>
      </c>
    </row>
    <row r="2" spans="1:3">
      <c r="A2" s="1">
        <v>64669.990000000013</v>
      </c>
      <c r="B2" s="47">
        <f t="shared" ref="B2:B33" si="0">+B1+A2</f>
        <v>25301.73000000001</v>
      </c>
      <c r="C2" s="49"/>
    </row>
    <row r="3" spans="1:3">
      <c r="A3" s="2">
        <v>64643.990000000013</v>
      </c>
      <c r="B3" s="47">
        <f t="shared" si="0"/>
        <v>89945.72000000003</v>
      </c>
      <c r="C3" s="49"/>
    </row>
    <row r="4" spans="1:3">
      <c r="A4" s="2">
        <v>-64681.83</v>
      </c>
      <c r="B4" s="47">
        <f t="shared" si="0"/>
        <v>25263.890000000029</v>
      </c>
      <c r="C4" s="49">
        <v>-37.840000000000003</v>
      </c>
    </row>
    <row r="5" spans="1:3">
      <c r="A5" s="1">
        <v>-64639</v>
      </c>
      <c r="B5" s="47">
        <f t="shared" si="0"/>
        <v>-39375.109999999971</v>
      </c>
      <c r="C5" s="49">
        <v>30.99</v>
      </c>
    </row>
    <row r="6" spans="1:3">
      <c r="A6" s="2">
        <v>64638.98</v>
      </c>
      <c r="B6" s="47">
        <f t="shared" si="0"/>
        <v>25263.870000000032</v>
      </c>
      <c r="C6" s="49"/>
    </row>
    <row r="7" spans="1:3">
      <c r="A7" s="2">
        <v>-64545.7</v>
      </c>
      <c r="B7" s="47">
        <f t="shared" si="0"/>
        <v>-39281.829999999965</v>
      </c>
      <c r="C7" s="49">
        <v>93.28</v>
      </c>
    </row>
    <row r="8" spans="1:3">
      <c r="A8" s="2">
        <v>64594.990000000013</v>
      </c>
      <c r="B8" s="47">
        <f t="shared" si="0"/>
        <v>25313.160000000047</v>
      </c>
      <c r="C8" s="49"/>
    </row>
    <row r="9" spans="1:3">
      <c r="A9" s="2">
        <v>-64569.99</v>
      </c>
      <c r="B9" s="47">
        <f t="shared" si="0"/>
        <v>-39256.829999999951</v>
      </c>
      <c r="C9" s="49">
        <v>25</v>
      </c>
    </row>
    <row r="10" spans="1:3">
      <c r="A10" s="2">
        <v>64700.98</v>
      </c>
      <c r="B10" s="47">
        <f t="shared" si="0"/>
        <v>25444.150000000052</v>
      </c>
      <c r="C10" s="49"/>
    </row>
    <row r="11" spans="1:3">
      <c r="A11" s="2">
        <v>-65487</v>
      </c>
      <c r="B11" s="47">
        <f t="shared" si="0"/>
        <v>-40042.849999999948</v>
      </c>
      <c r="C11" s="49">
        <v>-786.02</v>
      </c>
    </row>
    <row r="12" spans="1:3">
      <c r="A12" s="2">
        <v>-65459</v>
      </c>
      <c r="B12" s="47">
        <f t="shared" si="0"/>
        <v>-105501.84999999995</v>
      </c>
      <c r="C12" s="49"/>
    </row>
    <row r="13" spans="1:3">
      <c r="A13" s="2">
        <v>65479.98</v>
      </c>
      <c r="B13" s="47">
        <f t="shared" si="0"/>
        <v>-40021.869999999944</v>
      </c>
      <c r="C13" s="49">
        <v>20.98</v>
      </c>
    </row>
    <row r="14" spans="1:3">
      <c r="A14" s="2">
        <v>-65531</v>
      </c>
      <c r="B14" s="47">
        <f t="shared" si="0"/>
        <v>-105552.86999999994</v>
      </c>
      <c r="C14" s="49"/>
    </row>
    <row r="15" spans="1:3">
      <c r="A15" s="2">
        <v>65549.98</v>
      </c>
      <c r="B15" s="47">
        <f t="shared" si="0"/>
        <v>-40002.889999999941</v>
      </c>
      <c r="C15" s="49">
        <v>18.98</v>
      </c>
    </row>
    <row r="16" spans="1:3">
      <c r="A16" s="2">
        <v>65393.48</v>
      </c>
      <c r="B16" s="47">
        <f t="shared" si="0"/>
        <v>25390.590000000062</v>
      </c>
      <c r="C16" s="49"/>
    </row>
    <row r="17" spans="1:3">
      <c r="A17" s="2">
        <v>-65471.5</v>
      </c>
      <c r="B17" s="47">
        <f t="shared" si="0"/>
        <v>-40080.909999999938</v>
      </c>
      <c r="C17" s="49">
        <v>-78.02</v>
      </c>
    </row>
    <row r="18" spans="1:3">
      <c r="A18" s="2">
        <v>-65494.5</v>
      </c>
      <c r="B18" s="47">
        <f t="shared" si="0"/>
        <v>-105575.40999999995</v>
      </c>
      <c r="C18" s="49"/>
    </row>
    <row r="19" spans="1:3">
      <c r="A19" s="2">
        <v>65472.98</v>
      </c>
      <c r="B19" s="47">
        <f t="shared" si="0"/>
        <v>-40102.429999999942</v>
      </c>
      <c r="C19" s="49">
        <v>-21.52</v>
      </c>
    </row>
    <row r="20" spans="1:3">
      <c r="A20" s="2">
        <v>16369.63</v>
      </c>
      <c r="B20" s="47">
        <f t="shared" si="0"/>
        <v>-23732.799999999945</v>
      </c>
      <c r="C20" s="49"/>
    </row>
    <row r="21" spans="1:3">
      <c r="A21" s="2">
        <v>49108.86</v>
      </c>
      <c r="B21" s="47">
        <f t="shared" si="0"/>
        <v>25376.060000000056</v>
      </c>
      <c r="C21" s="49"/>
    </row>
    <row r="22" spans="1:3">
      <c r="A22" s="2">
        <v>-65514.71</v>
      </c>
      <c r="B22" s="47">
        <f t="shared" si="0"/>
        <v>-40138.649999999943</v>
      </c>
      <c r="C22" s="49">
        <v>-36.22</v>
      </c>
    </row>
    <row r="23" spans="1:3">
      <c r="A23" s="2">
        <v>65545.239999999991</v>
      </c>
      <c r="B23" s="47">
        <f t="shared" si="0"/>
        <v>25406.590000000047</v>
      </c>
      <c r="C23" s="49"/>
    </row>
    <row r="24" spans="1:3">
      <c r="A24" s="2">
        <v>-65539.259999999995</v>
      </c>
      <c r="B24" s="47">
        <f t="shared" si="0"/>
        <v>-40132.669999999947</v>
      </c>
      <c r="C24" s="49">
        <v>5.98</v>
      </c>
    </row>
    <row r="25" spans="1:3">
      <c r="A25" s="2">
        <v>65504.98</v>
      </c>
      <c r="B25" s="47">
        <f t="shared" si="0"/>
        <v>25372.310000000056</v>
      </c>
      <c r="C25" s="49"/>
    </row>
    <row r="26" spans="1:3">
      <c r="A26" s="2">
        <v>-65496.6</v>
      </c>
      <c r="B26" s="47">
        <f t="shared" si="0"/>
        <v>-40124.289999999943</v>
      </c>
      <c r="C26" s="49">
        <v>8.3800000000000008</v>
      </c>
    </row>
    <row r="27" spans="1:3">
      <c r="A27" s="3">
        <v>65441.48</v>
      </c>
      <c r="B27" s="47">
        <f t="shared" si="0"/>
        <v>25317.190000000061</v>
      </c>
      <c r="C27" s="49"/>
    </row>
    <row r="28" spans="1:3">
      <c r="A28" s="2">
        <v>65559.48</v>
      </c>
      <c r="B28" s="47">
        <f t="shared" si="0"/>
        <v>90876.670000000056</v>
      </c>
      <c r="C28" s="49"/>
    </row>
    <row r="29" spans="1:3">
      <c r="A29" s="2">
        <v>-65520.99</v>
      </c>
      <c r="B29" s="47">
        <f t="shared" si="0"/>
        <v>25355.680000000058</v>
      </c>
      <c r="C29" s="49">
        <v>38.49</v>
      </c>
    </row>
    <row r="30" spans="1:3">
      <c r="A30" s="3">
        <v>-65394.239999999998</v>
      </c>
      <c r="B30" s="47">
        <f t="shared" si="0"/>
        <v>-40038.559999999939</v>
      </c>
      <c r="C30" s="49">
        <v>47.24</v>
      </c>
    </row>
    <row r="31" spans="1:3">
      <c r="A31" s="2">
        <v>65378.87</v>
      </c>
      <c r="B31" s="47">
        <f t="shared" si="0"/>
        <v>25340.310000000063</v>
      </c>
      <c r="C31" s="49"/>
    </row>
    <row r="32" spans="1:3">
      <c r="A32" s="2">
        <v>-52281.2</v>
      </c>
      <c r="B32" s="47">
        <f t="shared" si="0"/>
        <v>-26940.889999999934</v>
      </c>
      <c r="C32" s="49"/>
    </row>
    <row r="33" spans="1:3">
      <c r="A33" s="2">
        <v>-13070.3</v>
      </c>
      <c r="B33" s="47">
        <f t="shared" si="0"/>
        <v>-40011.18999999993</v>
      </c>
      <c r="C33" s="49">
        <v>27.37</v>
      </c>
    </row>
    <row r="34" spans="1:3">
      <c r="A34" s="2">
        <v>18296.45</v>
      </c>
      <c r="B34" s="47">
        <f t="shared" ref="B34:B56" si="1">+B33+A34</f>
        <v>-21714.739999999929</v>
      </c>
      <c r="C34" s="49"/>
    </row>
    <row r="35" spans="1:3">
      <c r="A35" s="2">
        <v>13068.8</v>
      </c>
      <c r="B35" s="47">
        <f t="shared" si="1"/>
        <v>-8645.9399999999296</v>
      </c>
      <c r="C35" s="49"/>
    </row>
    <row r="36" spans="1:3">
      <c r="A36" s="2">
        <v>13068.8</v>
      </c>
      <c r="B36" s="47">
        <f t="shared" si="1"/>
        <v>4422.8600000000697</v>
      </c>
      <c r="C36" s="49"/>
    </row>
    <row r="37" spans="1:3">
      <c r="A37" s="2">
        <v>20910.07</v>
      </c>
      <c r="B37" s="47">
        <f t="shared" si="1"/>
        <v>25332.930000000069</v>
      </c>
      <c r="C37" s="49"/>
    </row>
    <row r="38" spans="1:3">
      <c r="A38" s="2">
        <v>-65329.5</v>
      </c>
      <c r="B38" s="47">
        <f t="shared" si="1"/>
        <v>-39996.569999999934</v>
      </c>
      <c r="C38" s="49">
        <v>14.62</v>
      </c>
    </row>
    <row r="39" spans="1:3">
      <c r="A39" s="2">
        <v>26134.79</v>
      </c>
      <c r="B39" s="47">
        <f t="shared" si="1"/>
        <v>-13861.779999999933</v>
      </c>
      <c r="C39" s="49"/>
    </row>
    <row r="40" spans="1:3">
      <c r="A40" s="2">
        <v>26134.79</v>
      </c>
      <c r="B40" s="47">
        <f t="shared" si="1"/>
        <v>12273.010000000068</v>
      </c>
      <c r="C40" s="49"/>
    </row>
    <row r="41" spans="1:3">
      <c r="A41" s="2">
        <v>13067.4</v>
      </c>
      <c r="B41" s="47">
        <f t="shared" si="1"/>
        <v>25340.410000000069</v>
      </c>
      <c r="C41" s="49"/>
    </row>
    <row r="42" spans="1:3">
      <c r="A42" s="2">
        <v>-65353.99</v>
      </c>
      <c r="B42" s="47">
        <f t="shared" si="1"/>
        <v>-40013.579999999929</v>
      </c>
      <c r="C42" s="49">
        <v>-17.010000000000002</v>
      </c>
    </row>
    <row r="43" spans="1:3">
      <c r="A43" s="2">
        <v>65278.98</v>
      </c>
      <c r="B43" s="47">
        <f t="shared" si="1"/>
        <v>25265.400000000074</v>
      </c>
      <c r="C43" s="49"/>
    </row>
    <row r="44" spans="1:3">
      <c r="A44" s="2">
        <v>-65261.87</v>
      </c>
      <c r="B44" s="47">
        <f t="shared" si="1"/>
        <v>-39996.469999999928</v>
      </c>
      <c r="C44" s="49">
        <v>17.11</v>
      </c>
    </row>
    <row r="45" spans="1:3">
      <c r="A45" s="4">
        <v>52200.86</v>
      </c>
      <c r="B45" s="47">
        <f t="shared" si="1"/>
        <v>12204.390000000072</v>
      </c>
      <c r="C45" s="49"/>
    </row>
    <row r="46" spans="1:3">
      <c r="A46" s="4">
        <v>13050.22</v>
      </c>
      <c r="B46" s="47">
        <f t="shared" si="1"/>
        <v>25254.610000000073</v>
      </c>
      <c r="C46" s="49"/>
    </row>
    <row r="47" spans="1:3">
      <c r="A47" s="2">
        <v>65281.990000000013</v>
      </c>
      <c r="B47" s="47">
        <f t="shared" si="1"/>
        <v>90536.600000000093</v>
      </c>
      <c r="C47" s="49"/>
    </row>
    <row r="48" spans="1:3">
      <c r="A48" s="2">
        <v>-65264.82</v>
      </c>
      <c r="B48" s="47">
        <f t="shared" si="1"/>
        <v>25271.780000000093</v>
      </c>
      <c r="C48" s="49">
        <v>17.170000000000002</v>
      </c>
    </row>
    <row r="49" spans="1:3">
      <c r="A49" s="4">
        <v>-65260.53</v>
      </c>
      <c r="B49" s="47">
        <f t="shared" si="1"/>
        <v>-39988.749999999905</v>
      </c>
      <c r="C49" s="49">
        <v>-9.4499999999999993</v>
      </c>
    </row>
    <row r="50" spans="1:3">
      <c r="A50" s="2">
        <v>-65270</v>
      </c>
      <c r="B50" s="47">
        <f t="shared" si="1"/>
        <v>-105258.74999999991</v>
      </c>
      <c r="C50" s="49"/>
    </row>
    <row r="51" spans="1:3">
      <c r="A51" s="2">
        <v>65281.08</v>
      </c>
      <c r="B51" s="47">
        <f t="shared" si="1"/>
        <v>-39977.669999999911</v>
      </c>
      <c r="C51" s="49">
        <v>11.08</v>
      </c>
    </row>
    <row r="52" spans="1:3">
      <c r="A52" s="2">
        <v>7181.08</v>
      </c>
      <c r="B52" s="47">
        <f t="shared" si="1"/>
        <v>-32796.589999999909</v>
      </c>
      <c r="C52" s="49"/>
    </row>
    <row r="53" spans="1:3">
      <c r="A53" s="2">
        <v>58101.4</v>
      </c>
      <c r="B53" s="47">
        <f t="shared" si="1"/>
        <v>25304.810000000092</v>
      </c>
      <c r="C53" s="49"/>
    </row>
    <row r="54" spans="1:3">
      <c r="A54" s="2">
        <v>-65367</v>
      </c>
      <c r="B54" s="47">
        <f t="shared" si="1"/>
        <v>-40062.189999999908</v>
      </c>
      <c r="C54" s="49">
        <v>-84.52</v>
      </c>
    </row>
    <row r="55" spans="1:3">
      <c r="A55" s="2">
        <v>17597.98</v>
      </c>
      <c r="B55" s="47">
        <f t="shared" si="1"/>
        <v>-22464.209999999908</v>
      </c>
      <c r="C55" s="49"/>
    </row>
    <row r="56" spans="1:3">
      <c r="A56" s="2">
        <v>-17673.5</v>
      </c>
      <c r="B56" s="47">
        <f t="shared" si="1"/>
        <v>-40137.709999999905</v>
      </c>
      <c r="C56" s="49">
        <v>-75.52</v>
      </c>
    </row>
    <row r="57" spans="1:3" ht="17.25" customHeight="1" thickBot="1">
      <c r="A57" s="41"/>
      <c r="B57" s="50" t="s">
        <v>2</v>
      </c>
      <c r="C57" s="51">
        <f>SUM(C2:C56)</f>
        <v>-769.44999999999993</v>
      </c>
    </row>
    <row r="58" spans="1:3" ht="17.25" customHeight="1" thickTop="1">
      <c r="A58" s="41"/>
      <c r="B58" s="50" t="s">
        <v>3</v>
      </c>
      <c r="C58" s="52">
        <f>+B56-B1</f>
        <v>-769.4499999999025</v>
      </c>
    </row>
    <row r="59" spans="1:3">
      <c r="A59" s="41"/>
      <c r="B59" s="47"/>
      <c r="C59" s="41"/>
    </row>
    <row r="60" spans="1:3">
      <c r="A60" s="41"/>
      <c r="B60" s="47"/>
      <c r="C60" s="41"/>
    </row>
    <row r="61" spans="1:3">
      <c r="A61" s="41" t="s">
        <v>4</v>
      </c>
      <c r="B61" s="50" t="s">
        <v>5</v>
      </c>
      <c r="C61" s="50">
        <f>SUMIF(A2:A54,"&lt;0")</f>
        <v>-1435804.5300000003</v>
      </c>
    </row>
    <row r="62" spans="1:3">
      <c r="A62" s="41" t="str">
        <f>"SPY " &amp; COUNT(C1:C54) * 100 &amp; "股"</f>
        <v>SPY 2200股</v>
      </c>
      <c r="B62" s="50" t="s">
        <v>6</v>
      </c>
      <c r="C62" s="50">
        <f>SUMIF(A2:A54,"&gt;0")</f>
        <v>1435110.5999999999</v>
      </c>
    </row>
    <row r="63" spans="1:3" ht="17.25" customHeight="1" thickBot="1">
      <c r="A63" s="46"/>
      <c r="B63" s="50" t="s">
        <v>7</v>
      </c>
      <c r="C63" s="51">
        <f>+C61+C62</f>
        <v>-693.93000000040047</v>
      </c>
    </row>
    <row r="64" spans="1:3" ht="17.25" customHeight="1" thickTop="1">
      <c r="A64" s="46"/>
      <c r="B64" s="50" t="s">
        <v>8</v>
      </c>
      <c r="C64" s="36">
        <f>C63/ABS(C61)</f>
        <v>-4.8330394945919299E-4</v>
      </c>
    </row>
    <row r="65" spans="1:3">
      <c r="A65" s="46"/>
      <c r="B65" s="50"/>
      <c r="C65" s="53"/>
    </row>
    <row r="66" spans="1:3">
      <c r="A66" s="41" t="s">
        <v>9</v>
      </c>
      <c r="B66" s="50" t="s">
        <v>5</v>
      </c>
      <c r="C66" s="50">
        <f>SUMIF(A55:A56,"&lt;0")</f>
        <v>-17673.5</v>
      </c>
    </row>
    <row r="67" spans="1:3">
      <c r="A67" s="41" t="str">
        <f>"NVDA " &amp; COUNT(C55:C56) * 100 &amp; "股"</f>
        <v>NVDA 100股</v>
      </c>
      <c r="B67" s="50" t="s">
        <v>6</v>
      </c>
      <c r="C67" s="50">
        <f>SUMIF(A55:A56,"&gt;0")</f>
        <v>17597.98</v>
      </c>
    </row>
    <row r="68" spans="1:3" ht="17.25" customHeight="1" thickBot="1">
      <c r="A68" s="46"/>
      <c r="B68" s="50" t="s">
        <v>7</v>
      </c>
      <c r="C68" s="51">
        <f>+C66+C67</f>
        <v>-75.520000000000437</v>
      </c>
    </row>
    <row r="69" spans="1:3" ht="17.25" customHeight="1" thickTop="1">
      <c r="A69" s="46"/>
      <c r="B69" s="50" t="s">
        <v>8</v>
      </c>
      <c r="C69" s="36">
        <f>C68/ABS(C66)</f>
        <v>-4.2730641921521172E-3</v>
      </c>
    </row>
    <row r="70" spans="1:3">
      <c r="A70" s="46"/>
      <c r="B70" s="41"/>
      <c r="C70" s="54">
        <f>+A63+A64+A70</f>
        <v>0</v>
      </c>
    </row>
    <row r="71" spans="1:3">
      <c r="A71" s="41" t="s">
        <v>10</v>
      </c>
      <c r="B71" s="41"/>
      <c r="C71" s="41"/>
    </row>
    <row r="72" spans="1:3">
      <c r="A72" s="41" t="s">
        <v>11</v>
      </c>
      <c r="B72" s="41" t="s">
        <v>12</v>
      </c>
      <c r="C72" s="50">
        <v>-68407</v>
      </c>
    </row>
    <row r="73" spans="1:3">
      <c r="A73" s="41" t="s">
        <v>13</v>
      </c>
      <c r="B73" s="41" t="s">
        <v>12</v>
      </c>
      <c r="C73" s="49">
        <v>-68311.62</v>
      </c>
    </row>
    <row r="74" spans="1:3">
      <c r="A74" s="5"/>
      <c r="B74" s="41"/>
      <c r="C74" s="41"/>
    </row>
    <row r="75" spans="1:3">
      <c r="A75" s="5"/>
      <c r="B75" s="41"/>
      <c r="C75" s="41"/>
    </row>
    <row r="76" spans="1:3">
      <c r="A76" s="5"/>
      <c r="B76" s="41"/>
      <c r="C76" s="41"/>
    </row>
    <row r="77" spans="1:3">
      <c r="A77" s="5"/>
      <c r="B77" s="41"/>
      <c r="C77" s="41"/>
    </row>
    <row r="78" spans="1:3">
      <c r="A78" s="5"/>
      <c r="B78" s="41"/>
      <c r="C78" s="41"/>
    </row>
    <row r="79" spans="1:3">
      <c r="A79" s="5"/>
      <c r="B79" s="41"/>
      <c r="C79" s="41"/>
    </row>
    <row r="80" spans="1:3">
      <c r="A80" s="5"/>
      <c r="B80" s="41"/>
      <c r="C80" s="41"/>
    </row>
    <row r="81" spans="1:3">
      <c r="A81" s="5"/>
      <c r="B81" s="41"/>
      <c r="C81" s="41"/>
    </row>
    <row r="82" spans="1:3" ht="30" customHeight="1">
      <c r="A82" s="46" t="s">
        <v>14</v>
      </c>
      <c r="B82" s="47">
        <v>-39283.760000000002</v>
      </c>
      <c r="C82" s="48" t="s">
        <v>1</v>
      </c>
    </row>
    <row r="83" spans="1:3">
      <c r="A83" s="50">
        <v>-65661</v>
      </c>
      <c r="B83" s="47">
        <f t="shared" ref="B83:B105" si="2">+B82+A83</f>
        <v>-104944.76000000001</v>
      </c>
      <c r="C83" s="49"/>
    </row>
    <row r="84" spans="1:3">
      <c r="A84" s="50">
        <f>65680.01-0.02</f>
        <v>65679.989999999991</v>
      </c>
      <c r="B84" s="47">
        <f t="shared" si="2"/>
        <v>-39264.770000000019</v>
      </c>
      <c r="C84" s="49">
        <f>+A83+A84</f>
        <v>18.989999999990687</v>
      </c>
    </row>
    <row r="85" spans="1:3">
      <c r="A85" s="50">
        <v>-26289.8</v>
      </c>
      <c r="B85" s="47">
        <f t="shared" si="2"/>
        <v>-65554.570000000022</v>
      </c>
      <c r="C85" s="49"/>
    </row>
    <row r="86" spans="1:3">
      <c r="A86" s="50">
        <v>-39434.699999999997</v>
      </c>
      <c r="B86" s="47">
        <f t="shared" si="2"/>
        <v>-104989.27000000002</v>
      </c>
      <c r="C86" s="49"/>
    </row>
    <row r="87" spans="1:3">
      <c r="A87" s="50">
        <f>65734.01-0.02</f>
        <v>65733.989999999991</v>
      </c>
      <c r="B87" s="47">
        <f t="shared" si="2"/>
        <v>-39255.280000000028</v>
      </c>
      <c r="C87" s="49">
        <f>+A87+A86+A85</f>
        <v>9.4899999999943248</v>
      </c>
    </row>
    <row r="88" spans="1:3">
      <c r="A88" s="50">
        <v>-65762.289999999994</v>
      </c>
      <c r="B88" s="47">
        <f t="shared" si="2"/>
        <v>-105017.57000000002</v>
      </c>
      <c r="C88" s="49"/>
    </row>
    <row r="89" spans="1:3">
      <c r="A89" s="50">
        <f>65752.78-0.02</f>
        <v>65752.759999999995</v>
      </c>
      <c r="B89" s="47">
        <f t="shared" si="2"/>
        <v>-39264.810000000027</v>
      </c>
      <c r="C89" s="49">
        <f>+A88+A89</f>
        <v>-9.5299999999988358</v>
      </c>
    </row>
    <row r="90" spans="1:3">
      <c r="A90" s="50">
        <v>-65784.2</v>
      </c>
      <c r="B90" s="47">
        <f t="shared" si="2"/>
        <v>-105049.01000000002</v>
      </c>
      <c r="C90" s="49"/>
    </row>
    <row r="91" spans="1:3">
      <c r="A91" s="50">
        <f>65779-0.02</f>
        <v>65778.98</v>
      </c>
      <c r="B91" s="47">
        <f t="shared" si="2"/>
        <v>-39270.030000000028</v>
      </c>
      <c r="C91" s="49">
        <f>+A90+A91</f>
        <v>-5.2200000000011642</v>
      </c>
    </row>
    <row r="92" spans="1:3">
      <c r="A92" s="50">
        <v>-65678.990000000005</v>
      </c>
      <c r="B92" s="47">
        <f t="shared" si="2"/>
        <v>-104949.02000000003</v>
      </c>
      <c r="C92" s="49"/>
    </row>
    <row r="93" spans="1:3">
      <c r="A93" s="50">
        <f>65751-0.02</f>
        <v>65750.98</v>
      </c>
      <c r="B93" s="47">
        <f t="shared" si="2"/>
        <v>-39198.040000000037</v>
      </c>
      <c r="C93" s="49">
        <f>+A92+A93</f>
        <v>71.989999999990687</v>
      </c>
    </row>
    <row r="94" spans="1:3">
      <c r="A94" s="50">
        <v>-65754.91</v>
      </c>
      <c r="B94" s="47">
        <f t="shared" si="2"/>
        <v>-104952.95000000004</v>
      </c>
      <c r="C94" s="49"/>
    </row>
    <row r="95" spans="1:3">
      <c r="A95" s="50">
        <f>65804-0.02</f>
        <v>65803.98</v>
      </c>
      <c r="B95" s="47">
        <f t="shared" si="2"/>
        <v>-39148.970000000045</v>
      </c>
      <c r="C95" s="49">
        <f>+A94+A95</f>
        <v>49.069999999992433</v>
      </c>
    </row>
    <row r="96" spans="1:3">
      <c r="A96" s="50">
        <v>-658.16</v>
      </c>
      <c r="B96" s="47">
        <f t="shared" si="2"/>
        <v>-39807.130000000048</v>
      </c>
      <c r="C96" s="49"/>
    </row>
    <row r="97" spans="1:3">
      <c r="A97" s="50">
        <v>-65158.82</v>
      </c>
      <c r="B97" s="47">
        <f t="shared" si="2"/>
        <v>-104965.95000000004</v>
      </c>
      <c r="C97" s="49"/>
    </row>
    <row r="98" spans="1:3">
      <c r="A98" s="50">
        <f>39512.4-0.01</f>
        <v>39512.39</v>
      </c>
      <c r="B98" s="47">
        <f t="shared" si="2"/>
        <v>-65453.560000000041</v>
      </c>
      <c r="C98" s="49"/>
    </row>
    <row r="99" spans="1:3">
      <c r="A99" s="50">
        <f>26341.6-0.01</f>
        <v>26341.59</v>
      </c>
      <c r="B99" s="47">
        <f t="shared" si="2"/>
        <v>-39111.970000000045</v>
      </c>
      <c r="C99" s="49">
        <f>+A96+A97+A98+A99</f>
        <v>37.000000000003638</v>
      </c>
    </row>
    <row r="100" spans="1:3">
      <c r="A100" s="50">
        <v>-65864.990000000005</v>
      </c>
      <c r="B100" s="47">
        <f t="shared" si="2"/>
        <v>-104976.96000000005</v>
      </c>
      <c r="C100" s="49"/>
    </row>
    <row r="101" spans="1:3">
      <c r="A101" s="50">
        <f>65872-0.02</f>
        <v>65871.98</v>
      </c>
      <c r="B101" s="47">
        <f t="shared" si="2"/>
        <v>-39104.980000000054</v>
      </c>
      <c r="C101" s="49">
        <f>+A100+A101</f>
        <v>6.9899999999906868</v>
      </c>
    </row>
    <row r="102" spans="1:3">
      <c r="A102" s="50">
        <v>-65838.990000000005</v>
      </c>
      <c r="B102" s="47">
        <f t="shared" si="2"/>
        <v>-104943.97000000006</v>
      </c>
      <c r="C102" s="49"/>
    </row>
    <row r="103" spans="1:3">
      <c r="A103" s="50">
        <f>65825.5-0.02</f>
        <v>65825.48</v>
      </c>
      <c r="B103" s="47">
        <f t="shared" si="2"/>
        <v>-39118.490000000063</v>
      </c>
      <c r="C103" s="49">
        <f>+A102+A103</f>
        <v>-13.510000000009313</v>
      </c>
    </row>
    <row r="104" spans="1:3">
      <c r="A104" s="50">
        <v>-65726.5</v>
      </c>
      <c r="B104" s="47">
        <f t="shared" si="2"/>
        <v>-104844.99000000006</v>
      </c>
      <c r="C104" s="49"/>
    </row>
    <row r="105" spans="1:3">
      <c r="A105" s="50">
        <f>65751.01-0.02</f>
        <v>65750.989999999991</v>
      </c>
      <c r="B105" s="47">
        <f t="shared" si="2"/>
        <v>-39094.000000000073</v>
      </c>
      <c r="C105" s="49">
        <f>+A104+A105</f>
        <v>24.489999999990687</v>
      </c>
    </row>
    <row r="106" spans="1:3" ht="17.25" customHeight="1" thickBot="1">
      <c r="A106" s="41"/>
      <c r="B106" s="50" t="s">
        <v>2</v>
      </c>
      <c r="C106" s="51">
        <f>SUM(C83:C105)</f>
        <v>189.75999999994383</v>
      </c>
    </row>
    <row r="107" spans="1:3" ht="17.25" customHeight="1" thickTop="1">
      <c r="A107" s="41"/>
      <c r="B107" s="50" t="s">
        <v>3</v>
      </c>
      <c r="C107" s="52">
        <f>+B105-B82</f>
        <v>189.75999999992928</v>
      </c>
    </row>
    <row r="108" spans="1:3">
      <c r="A108" s="41"/>
      <c r="B108" s="47"/>
      <c r="C108" s="41"/>
    </row>
    <row r="109" spans="1:3">
      <c r="A109" s="41"/>
      <c r="B109" s="47"/>
      <c r="C109" s="41"/>
    </row>
    <row r="110" spans="1:3">
      <c r="A110" s="41" t="s">
        <v>15</v>
      </c>
      <c r="B110" s="50" t="s">
        <v>5</v>
      </c>
      <c r="C110" s="50">
        <f>SUMIF(A83:A105,"&lt;0")</f>
        <v>-657613.35</v>
      </c>
    </row>
    <row r="111" spans="1:3">
      <c r="A111" s="41" t="str">
        <f>"SPY " &amp; COUNT(C83:C105) * 100 &amp; "股"</f>
        <v>SPY 1000股</v>
      </c>
      <c r="B111" s="50" t="s">
        <v>6</v>
      </c>
      <c r="C111" s="50">
        <f>SUMIF(A83:A105,"&gt;0")</f>
        <v>657803.11</v>
      </c>
    </row>
    <row r="112" spans="1:3" ht="17.25" customHeight="1" thickBot="1">
      <c r="A112" s="46"/>
      <c r="B112" s="50" t="s">
        <v>7</v>
      </c>
      <c r="C112" s="51">
        <f>+C110+C111</f>
        <v>189.76000000000931</v>
      </c>
    </row>
    <row r="113" spans="1:3" ht="17.25" customHeight="1" thickTop="1">
      <c r="A113" s="46"/>
      <c r="B113" s="50" t="s">
        <v>8</v>
      </c>
      <c r="C113" s="36">
        <f>C112/ABS(C110)</f>
        <v>2.885586188297566E-4</v>
      </c>
    </row>
    <row r="114" spans="1:3">
      <c r="A114" s="46"/>
      <c r="B114" s="41"/>
      <c r="C114" s="54">
        <f>+A112+A113+A114</f>
        <v>0</v>
      </c>
    </row>
    <row r="115" spans="1:3">
      <c r="A115" s="41" t="s">
        <v>10</v>
      </c>
      <c r="B115" s="41"/>
      <c r="C115" s="41"/>
    </row>
    <row r="116" spans="1:3">
      <c r="A116" s="41" t="s">
        <v>11</v>
      </c>
      <c r="B116" s="41" t="s">
        <v>12</v>
      </c>
      <c r="C116" s="50">
        <v>-68407</v>
      </c>
    </row>
    <row r="117" spans="1:3">
      <c r="A117" s="41" t="s">
        <v>13</v>
      </c>
      <c r="B117" s="41" t="s">
        <v>12</v>
      </c>
      <c r="C117" s="49">
        <v>-68311.62</v>
      </c>
    </row>
    <row r="118" spans="1:3">
      <c r="A118" s="5"/>
      <c r="B118" s="41"/>
      <c r="C118" s="41"/>
    </row>
    <row r="119" spans="1:3">
      <c r="A119" s="5"/>
      <c r="B119" s="41"/>
      <c r="C119" s="41"/>
    </row>
    <row r="120" spans="1:3">
      <c r="A120" s="5"/>
      <c r="B120" s="41"/>
      <c r="C120" s="41"/>
    </row>
    <row r="121" spans="1:3" ht="30" customHeight="1">
      <c r="A121" s="46" t="s">
        <v>16</v>
      </c>
      <c r="B121" s="47">
        <v>-40053.21</v>
      </c>
      <c r="C121" s="48" t="s">
        <v>1</v>
      </c>
    </row>
    <row r="122" spans="1:3">
      <c r="A122" s="50">
        <v>-65606.5</v>
      </c>
      <c r="B122" s="47">
        <f t="shared" ref="B122:B127" si="3">+B121+A122</f>
        <v>-105659.70999999999</v>
      </c>
      <c r="C122" s="49"/>
    </row>
    <row r="123" spans="1:3">
      <c r="A123" s="50">
        <f>65600.14-1.37</f>
        <v>65598.77</v>
      </c>
      <c r="B123" s="47">
        <f t="shared" si="3"/>
        <v>-40060.939999999988</v>
      </c>
      <c r="C123" s="49">
        <f>+A122+A123</f>
        <v>-7.7299999999959255</v>
      </c>
    </row>
    <row r="124" spans="1:3">
      <c r="A124" s="50">
        <v>-65394.5</v>
      </c>
      <c r="B124" s="47">
        <f t="shared" si="3"/>
        <v>-105455.43999999999</v>
      </c>
      <c r="C124" s="49"/>
    </row>
    <row r="125" spans="1:3">
      <c r="A125" s="50">
        <f>65495.5-1.37</f>
        <v>65494.13</v>
      </c>
      <c r="B125" s="47">
        <f t="shared" si="3"/>
        <v>-39961.30999999999</v>
      </c>
      <c r="C125" s="49">
        <f>+A124+A125</f>
        <v>99.629999999997381</v>
      </c>
    </row>
    <row r="126" spans="1:3">
      <c r="A126" s="50">
        <v>-65633.5</v>
      </c>
      <c r="B126" s="47">
        <f t="shared" si="3"/>
        <v>-105594.81</v>
      </c>
      <c r="C126" s="49"/>
    </row>
    <row r="127" spans="1:3">
      <c r="A127" s="50">
        <f>65645-1.37</f>
        <v>65643.63</v>
      </c>
      <c r="B127" s="47">
        <f t="shared" si="3"/>
        <v>-39951.179999999993</v>
      </c>
      <c r="C127" s="49">
        <f>+A126+A127</f>
        <v>10.130000000004657</v>
      </c>
    </row>
    <row r="128" spans="1:3" ht="17.25" customHeight="1" thickBot="1">
      <c r="A128" s="41"/>
      <c r="B128" s="50" t="s">
        <v>2</v>
      </c>
      <c r="C128" s="51">
        <f>SUM(C122:C127)</f>
        <v>102.03000000000611</v>
      </c>
    </row>
    <row r="129" spans="1:3" ht="17.25" customHeight="1" thickTop="1">
      <c r="A129" s="41"/>
      <c r="B129" s="50" t="s">
        <v>3</v>
      </c>
      <c r="C129" s="52">
        <f>+B127-B121</f>
        <v>102.03000000000611</v>
      </c>
    </row>
    <row r="130" spans="1:3">
      <c r="A130" s="41"/>
      <c r="B130" s="47"/>
      <c r="C130" s="41"/>
    </row>
    <row r="131" spans="1:3">
      <c r="A131" s="41"/>
      <c r="B131" s="47"/>
      <c r="C131" s="41"/>
    </row>
    <row r="132" spans="1:3">
      <c r="A132" s="41" t="s">
        <v>17</v>
      </c>
      <c r="B132" s="50" t="s">
        <v>5</v>
      </c>
      <c r="C132" s="50">
        <f>SUMIF(A122:A127,"&lt;0")</f>
        <v>-196634.5</v>
      </c>
    </row>
    <row r="133" spans="1:3">
      <c r="A133" s="41" t="str">
        <f>"SPY " &amp; COUNT(C122:C127) * 100 &amp; "股"</f>
        <v>SPY 300股</v>
      </c>
      <c r="B133" s="50" t="s">
        <v>6</v>
      </c>
      <c r="C133" s="50">
        <f>SUMIF(A122:A127,"&gt;0")</f>
        <v>196736.53</v>
      </c>
    </row>
    <row r="134" spans="1:3" ht="17.25" customHeight="1" thickBot="1">
      <c r="A134" s="46"/>
      <c r="B134" s="50" t="s">
        <v>7</v>
      </c>
      <c r="C134" s="51">
        <f>+C132+C133</f>
        <v>102.02999999999884</v>
      </c>
    </row>
    <row r="135" spans="1:3" ht="17.25" customHeight="1" thickTop="1">
      <c r="A135" s="46"/>
      <c r="B135" s="50" t="s">
        <v>8</v>
      </c>
      <c r="C135" s="36">
        <f>C134/ABS(C132)</f>
        <v>5.1888147807225508E-4</v>
      </c>
    </row>
    <row r="136" spans="1:3">
      <c r="A136" s="46"/>
      <c r="B136" s="41"/>
      <c r="C136" s="54">
        <f>+A134+A135+A136</f>
        <v>0</v>
      </c>
    </row>
    <row r="137" spans="1:3">
      <c r="A137" s="41" t="s">
        <v>10</v>
      </c>
      <c r="B137" s="41"/>
      <c r="C137" s="41"/>
    </row>
    <row r="138" spans="1:3">
      <c r="A138" s="41" t="s">
        <v>11</v>
      </c>
      <c r="B138" s="41" t="s">
        <v>12</v>
      </c>
      <c r="C138" s="50">
        <v>-68407</v>
      </c>
    </row>
    <row r="139" spans="1:3">
      <c r="A139" s="41" t="s">
        <v>13</v>
      </c>
      <c r="B139" s="41" t="s">
        <v>12</v>
      </c>
      <c r="C139" s="49">
        <v>-68311.62</v>
      </c>
    </row>
    <row r="140" spans="1:3">
      <c r="A140" s="5"/>
      <c r="B140" s="41"/>
      <c r="C140" s="41"/>
    </row>
    <row r="141" spans="1:3">
      <c r="A141" s="5"/>
      <c r="B141" s="41"/>
      <c r="C141" s="41"/>
    </row>
    <row r="142" spans="1:3" ht="30" customHeight="1">
      <c r="A142" s="46" t="s">
        <v>18</v>
      </c>
      <c r="B142" s="47">
        <v>-39863.449999999997</v>
      </c>
      <c r="C142" s="48" t="s">
        <v>1</v>
      </c>
    </row>
    <row r="143" spans="1:3">
      <c r="A143" s="50">
        <v>-67573.5</v>
      </c>
      <c r="B143" s="47">
        <f t="shared" ref="B143:B170" si="4">+B142+A143</f>
        <v>-107436.95</v>
      </c>
      <c r="C143" s="49"/>
    </row>
    <row r="144" spans="1:3">
      <c r="A144" s="50">
        <f>67391.56-1.41</f>
        <v>67390.149999999994</v>
      </c>
      <c r="B144" s="47">
        <f t="shared" si="4"/>
        <v>-40046.800000000003</v>
      </c>
      <c r="C144" s="49">
        <f>+A143+A144</f>
        <v>-183.35000000000582</v>
      </c>
    </row>
    <row r="145" spans="1:3">
      <c r="A145" s="50">
        <v>-67425.490000000005</v>
      </c>
      <c r="B145" s="47">
        <f t="shared" si="4"/>
        <v>-107472.29000000001</v>
      </c>
      <c r="C145" s="49"/>
    </row>
    <row r="146" spans="1:3">
      <c r="A146" s="50">
        <f>67442.01-1.41</f>
        <v>67440.599999999991</v>
      </c>
      <c r="B146" s="47">
        <f t="shared" si="4"/>
        <v>-40031.690000000017</v>
      </c>
      <c r="C146" s="49">
        <f>+A145+A146</f>
        <v>15.10999999998603</v>
      </c>
    </row>
    <row r="147" spans="1:3">
      <c r="A147" s="50">
        <v>-67490.649999999994</v>
      </c>
      <c r="B147" s="47">
        <f t="shared" si="4"/>
        <v>-107522.34000000001</v>
      </c>
      <c r="C147" s="49"/>
    </row>
    <row r="148" spans="1:3">
      <c r="A148" s="50">
        <f>67493.5-1.41</f>
        <v>67492.09</v>
      </c>
      <c r="B148" s="47">
        <f t="shared" si="4"/>
        <v>-40030.250000000015</v>
      </c>
      <c r="C148" s="49">
        <f>+A147+A148</f>
        <v>1.4400000000023283</v>
      </c>
    </row>
    <row r="149" spans="1:3">
      <c r="A149" s="50">
        <v>-23639.83</v>
      </c>
      <c r="B149" s="47">
        <f t="shared" si="4"/>
        <v>-63670.080000000016</v>
      </c>
      <c r="C149" s="49"/>
    </row>
    <row r="150" spans="1:3">
      <c r="A150" s="50">
        <v>-43902.54</v>
      </c>
      <c r="B150" s="47">
        <f t="shared" si="4"/>
        <v>-107572.62000000002</v>
      </c>
      <c r="C150" s="49"/>
    </row>
    <row r="151" spans="1:3">
      <c r="A151" s="50">
        <f>67566.5-1.41</f>
        <v>67565.09</v>
      </c>
      <c r="B151" s="47">
        <f t="shared" si="4"/>
        <v>-40007.530000000028</v>
      </c>
      <c r="C151" s="49">
        <f>+A149+A150+A151</f>
        <v>22.720000000001164</v>
      </c>
    </row>
    <row r="152" spans="1:3">
      <c r="A152" s="50">
        <v>-67523.13</v>
      </c>
      <c r="B152" s="47">
        <f t="shared" si="4"/>
        <v>-107530.66000000003</v>
      </c>
      <c r="C152" s="49"/>
    </row>
    <row r="153" spans="1:3">
      <c r="A153" s="50">
        <f>67526.01-1.41</f>
        <v>67524.599999999991</v>
      </c>
      <c r="B153" s="47">
        <f t="shared" si="4"/>
        <v>-40006.060000000041</v>
      </c>
      <c r="C153" s="49">
        <f>+A152+A153</f>
        <v>1.4699999999866122</v>
      </c>
    </row>
    <row r="154" spans="1:3">
      <c r="A154" s="50">
        <v>-67528.97</v>
      </c>
      <c r="B154" s="47">
        <f t="shared" si="4"/>
        <v>-107535.03000000004</v>
      </c>
      <c r="C154" s="49"/>
    </row>
    <row r="155" spans="1:3">
      <c r="A155" s="50">
        <f>67493.78-1.41</f>
        <v>67492.37</v>
      </c>
      <c r="B155" s="47">
        <f t="shared" si="4"/>
        <v>-40042.660000000047</v>
      </c>
      <c r="C155" s="49">
        <f>+A154+A155</f>
        <v>-36.600000000005821</v>
      </c>
    </row>
    <row r="156" spans="1:3">
      <c r="A156" s="50">
        <v>-67495.5</v>
      </c>
      <c r="B156" s="47">
        <f t="shared" si="4"/>
        <v>-107538.16000000005</v>
      </c>
      <c r="C156" s="49"/>
    </row>
    <row r="157" spans="1:3">
      <c r="A157" s="50">
        <f>67506.5-1.41</f>
        <v>67505.09</v>
      </c>
      <c r="B157" s="47">
        <f t="shared" si="4"/>
        <v>-40033.070000000051</v>
      </c>
      <c r="C157" s="49">
        <f>+A156+A157</f>
        <v>9.5899999999965075</v>
      </c>
    </row>
    <row r="158" spans="1:3">
      <c r="A158" s="50">
        <v>-67523.87</v>
      </c>
      <c r="B158" s="47">
        <f t="shared" si="4"/>
        <v>-107556.94000000005</v>
      </c>
      <c r="C158" s="49"/>
    </row>
    <row r="159" spans="1:3">
      <c r="A159" s="50">
        <f>67539.62-1.41</f>
        <v>67538.209999999992</v>
      </c>
      <c r="B159" s="47">
        <f t="shared" si="4"/>
        <v>-40018.730000000054</v>
      </c>
      <c r="C159" s="49">
        <f>+A158+A159</f>
        <v>14.339999999996508</v>
      </c>
    </row>
    <row r="160" spans="1:3">
      <c r="A160" s="50">
        <v>-67535</v>
      </c>
      <c r="B160" s="47">
        <f t="shared" si="4"/>
        <v>-107553.73000000005</v>
      </c>
      <c r="C160" s="49"/>
    </row>
    <row r="161" spans="1:3">
      <c r="A161" s="50">
        <f>3376.53-0.07</f>
        <v>3376.46</v>
      </c>
      <c r="B161" s="47">
        <f t="shared" si="4"/>
        <v>-104177.27000000005</v>
      </c>
      <c r="C161" s="49"/>
    </row>
    <row r="162" spans="1:3">
      <c r="A162" s="50">
        <f>27012-0.57</f>
        <v>27011.43</v>
      </c>
      <c r="B162" s="47">
        <f t="shared" si="4"/>
        <v>-77165.840000000055</v>
      </c>
      <c r="C162" s="49"/>
    </row>
    <row r="163" spans="1:3">
      <c r="A163" s="50">
        <f>37141.51-0.77</f>
        <v>37140.740000000005</v>
      </c>
      <c r="B163" s="47">
        <f t="shared" si="4"/>
        <v>-40025.100000000049</v>
      </c>
      <c r="C163" s="49">
        <f>+A163+A162+A161+A160</f>
        <v>-6.3699999999953434</v>
      </c>
    </row>
    <row r="164" spans="1:3">
      <c r="A164" s="50">
        <v>-67531.5</v>
      </c>
      <c r="B164" s="47">
        <f t="shared" si="4"/>
        <v>-107556.60000000005</v>
      </c>
      <c r="C164" s="49"/>
    </row>
    <row r="165" spans="1:3">
      <c r="A165" s="50">
        <f>6753.4-0.14</f>
        <v>6753.2599999999993</v>
      </c>
      <c r="B165" s="47">
        <f t="shared" si="4"/>
        <v>-100803.34000000005</v>
      </c>
      <c r="C165" s="49"/>
    </row>
    <row r="166" spans="1:3">
      <c r="A166" s="50">
        <f>60780.61-1.27</f>
        <v>60779.340000000004</v>
      </c>
      <c r="B166" s="47">
        <f t="shared" si="4"/>
        <v>-40024.000000000051</v>
      </c>
      <c r="C166" s="49">
        <f>+A166+A165+A164</f>
        <v>1.1000000000058208</v>
      </c>
    </row>
    <row r="167" spans="1:3">
      <c r="A167" s="50">
        <v>-67564.5</v>
      </c>
      <c r="B167" s="47">
        <f t="shared" si="4"/>
        <v>-107588.50000000006</v>
      </c>
      <c r="C167" s="49"/>
    </row>
    <row r="168" spans="1:3">
      <c r="A168" s="50">
        <f>67571.5-1.41</f>
        <v>67570.09</v>
      </c>
      <c r="B168" s="47">
        <f t="shared" si="4"/>
        <v>-40018.410000000062</v>
      </c>
      <c r="C168" s="49">
        <f>+A167+A168</f>
        <v>5.5899999999965075</v>
      </c>
    </row>
    <row r="169" spans="1:3">
      <c r="A169" s="50">
        <v>-67559.5</v>
      </c>
      <c r="B169" s="47">
        <f t="shared" si="4"/>
        <v>-107577.91000000006</v>
      </c>
      <c r="C169" s="49"/>
    </row>
    <row r="170" spans="1:3">
      <c r="A170" s="50">
        <f>67561-1.41</f>
        <v>67559.59</v>
      </c>
      <c r="B170" s="47">
        <f t="shared" si="4"/>
        <v>-40018.320000000065</v>
      </c>
      <c r="C170" s="49">
        <f>+A169+A170</f>
        <v>8.999999999650754E-2</v>
      </c>
    </row>
    <row r="171" spans="1:3" ht="17.25" customHeight="1" thickBot="1">
      <c r="A171" s="41"/>
      <c r="B171" s="50" t="s">
        <v>2</v>
      </c>
      <c r="C171" s="51">
        <f>SUM(C143:C170)</f>
        <v>-154.870000000039</v>
      </c>
    </row>
    <row r="172" spans="1:3" ht="17.25" customHeight="1" thickTop="1">
      <c r="A172" s="41"/>
      <c r="B172" s="50" t="s">
        <v>3</v>
      </c>
      <c r="C172" s="52">
        <f>+B170-B142</f>
        <v>-154.8700000000681</v>
      </c>
    </row>
    <row r="173" spans="1:3">
      <c r="A173" s="41"/>
      <c r="B173" s="47"/>
      <c r="C173" s="41"/>
    </row>
    <row r="174" spans="1:3">
      <c r="A174" s="41"/>
      <c r="B174" s="47"/>
      <c r="C174" s="41"/>
    </row>
    <row r="175" spans="1:3">
      <c r="A175" s="41" t="s">
        <v>19</v>
      </c>
      <c r="B175" s="50" t="s">
        <v>5</v>
      </c>
      <c r="C175" s="50">
        <f>SUMIF(A143:A170,"&lt;0")</f>
        <v>-810293.98</v>
      </c>
    </row>
    <row r="176" spans="1:3">
      <c r="A176" s="41" t="str">
        <f>"SPY " &amp; COUNT(C143:C170) * 100 &amp; "股"</f>
        <v>SPY 1200股</v>
      </c>
      <c r="B176" s="50" t="s">
        <v>6</v>
      </c>
      <c r="C176" s="50">
        <f>SUMIF(A143:A170,"&gt;0")</f>
        <v>810139.10999999987</v>
      </c>
    </row>
    <row r="177" spans="1:3" ht="17.25" customHeight="1" thickBot="1">
      <c r="A177" s="46"/>
      <c r="B177" s="50" t="s">
        <v>7</v>
      </c>
      <c r="C177" s="51">
        <f>+C175+C176</f>
        <v>-154.87000000011176</v>
      </c>
    </row>
    <row r="178" spans="1:3" ht="17.25" customHeight="1" thickTop="1">
      <c r="A178" s="46"/>
      <c r="B178" s="50" t="s">
        <v>8</v>
      </c>
      <c r="C178" s="36">
        <f>C177/ABS(C175)</f>
        <v>-1.9112816313915075E-4</v>
      </c>
    </row>
    <row r="179" spans="1:3">
      <c r="A179" s="46"/>
      <c r="B179" s="41"/>
      <c r="C179" s="54">
        <f>+A177+A178+A179</f>
        <v>0</v>
      </c>
    </row>
    <row r="180" spans="1:3">
      <c r="A180" s="41" t="s">
        <v>10</v>
      </c>
      <c r="B180" s="41"/>
      <c r="C180" s="41"/>
    </row>
    <row r="181" spans="1:3">
      <c r="A181" s="41" t="s">
        <v>11</v>
      </c>
      <c r="B181" s="41" t="s">
        <v>12</v>
      </c>
      <c r="C181" s="50">
        <v>-68407</v>
      </c>
    </row>
    <row r="182" spans="1:3">
      <c r="A182" s="41" t="s">
        <v>13</v>
      </c>
      <c r="B182" s="41" t="s">
        <v>12</v>
      </c>
      <c r="C182" s="49">
        <v>-68311.62</v>
      </c>
    </row>
    <row r="183" spans="1:3">
      <c r="A183" s="41"/>
      <c r="B183" s="41"/>
      <c r="C183" s="49"/>
    </row>
    <row r="184" spans="1:3">
      <c r="A184" s="5"/>
      <c r="B184" s="41"/>
      <c r="C184" s="41"/>
    </row>
    <row r="185" spans="1:3" ht="30" customHeight="1">
      <c r="A185" s="46" t="s">
        <v>20</v>
      </c>
      <c r="B185" s="47">
        <v>-39761.42</v>
      </c>
      <c r="C185" s="48" t="s">
        <v>1</v>
      </c>
    </row>
    <row r="186" spans="1:3">
      <c r="A186" s="6">
        <v>-67533</v>
      </c>
      <c r="B186" s="47">
        <f t="shared" ref="B186:B215" si="5">+B185+A186</f>
        <v>-107294.42</v>
      </c>
      <c r="C186" s="49"/>
    </row>
    <row r="187" spans="1:3">
      <c r="A187" s="6">
        <v>67522.09</v>
      </c>
      <c r="B187" s="47">
        <f t="shared" si="5"/>
        <v>-39772.33</v>
      </c>
      <c r="C187" s="49">
        <v>-10.91</v>
      </c>
    </row>
    <row r="188" spans="1:3">
      <c r="A188" s="6">
        <v>-67495.990000000005</v>
      </c>
      <c r="B188" s="47">
        <f t="shared" si="5"/>
        <v>-107268.32</v>
      </c>
      <c r="C188" s="49"/>
    </row>
    <row r="189" spans="1:3">
      <c r="A189" s="6">
        <v>67469.09</v>
      </c>
      <c r="B189" s="47">
        <f t="shared" si="5"/>
        <v>-39799.23000000001</v>
      </c>
      <c r="C189" s="49">
        <v>-26.9</v>
      </c>
    </row>
    <row r="190" spans="1:3">
      <c r="A190" s="6">
        <v>-67452.37</v>
      </c>
      <c r="B190" s="47">
        <f t="shared" si="5"/>
        <v>-107251.6</v>
      </c>
      <c r="C190" s="49"/>
    </row>
    <row r="191" spans="1:3">
      <c r="A191" s="6">
        <v>67445.59</v>
      </c>
      <c r="B191" s="47">
        <f t="shared" si="5"/>
        <v>-39806.010000000009</v>
      </c>
      <c r="C191" s="49">
        <v>-6.78</v>
      </c>
    </row>
    <row r="192" spans="1:3">
      <c r="A192" s="6">
        <v>-67440</v>
      </c>
      <c r="B192" s="47">
        <f t="shared" si="5"/>
        <v>-107246.01000000001</v>
      </c>
      <c r="C192" s="49"/>
    </row>
    <row r="193" spans="1:3">
      <c r="A193" s="6">
        <v>67468.42</v>
      </c>
      <c r="B193" s="47">
        <f t="shared" si="5"/>
        <v>-39777.590000000011</v>
      </c>
      <c r="C193" s="49">
        <v>28.42</v>
      </c>
    </row>
    <row r="194" spans="1:3">
      <c r="A194" s="6">
        <v>-67493.5</v>
      </c>
      <c r="B194" s="47">
        <f t="shared" si="5"/>
        <v>-107271.09000000001</v>
      </c>
      <c r="C194" s="49"/>
    </row>
    <row r="195" spans="1:3">
      <c r="A195" s="6">
        <v>67499.09</v>
      </c>
      <c r="B195" s="47">
        <f t="shared" si="5"/>
        <v>-39772.000000000015</v>
      </c>
      <c r="C195" s="49">
        <v>5.59</v>
      </c>
    </row>
    <row r="196" spans="1:3">
      <c r="A196" s="6">
        <v>-67503.5</v>
      </c>
      <c r="B196" s="47">
        <f t="shared" si="5"/>
        <v>-107275.50000000001</v>
      </c>
      <c r="C196" s="49"/>
    </row>
    <row r="197" spans="1:3">
      <c r="A197" s="6">
        <v>67511.09</v>
      </c>
      <c r="B197" s="47">
        <f t="shared" si="5"/>
        <v>-39764.410000000018</v>
      </c>
      <c r="C197" s="49">
        <v>7.59</v>
      </c>
    </row>
    <row r="198" spans="1:3">
      <c r="A198" s="6">
        <v>-67524.990000000005</v>
      </c>
      <c r="B198" s="47">
        <f t="shared" si="5"/>
        <v>-107289.40000000002</v>
      </c>
      <c r="C198" s="49"/>
    </row>
    <row r="199" spans="1:3">
      <c r="A199" s="6">
        <v>67506.09</v>
      </c>
      <c r="B199" s="47">
        <f t="shared" si="5"/>
        <v>-39783.310000000027</v>
      </c>
      <c r="C199" s="49">
        <v>-18.899999999999999</v>
      </c>
    </row>
    <row r="200" spans="1:3">
      <c r="A200" s="6">
        <v>-67493</v>
      </c>
      <c r="B200" s="47">
        <f t="shared" si="5"/>
        <v>-107276.31000000003</v>
      </c>
      <c r="C200" s="49"/>
    </row>
    <row r="201" spans="1:3">
      <c r="A201" s="6">
        <v>67496.47</v>
      </c>
      <c r="B201" s="47">
        <f t="shared" si="5"/>
        <v>-39779.840000000026</v>
      </c>
      <c r="C201" s="49">
        <v>3.47</v>
      </c>
    </row>
    <row r="202" spans="1:3">
      <c r="A202" s="6">
        <v>-67506.5</v>
      </c>
      <c r="B202" s="47">
        <f t="shared" si="5"/>
        <v>-107286.34000000003</v>
      </c>
      <c r="C202" s="49"/>
    </row>
    <row r="203" spans="1:3">
      <c r="A203" s="6">
        <v>67520.59</v>
      </c>
      <c r="B203" s="47">
        <f t="shared" si="5"/>
        <v>-39765.750000000029</v>
      </c>
      <c r="C203" s="49">
        <v>14.09</v>
      </c>
    </row>
    <row r="204" spans="1:3">
      <c r="A204" s="6">
        <v>-67513</v>
      </c>
      <c r="B204" s="47">
        <f t="shared" si="5"/>
        <v>-107278.75000000003</v>
      </c>
      <c r="C204" s="49"/>
    </row>
    <row r="205" spans="1:3">
      <c r="A205" s="6">
        <v>54031.27</v>
      </c>
      <c r="B205" s="47">
        <f t="shared" si="5"/>
        <v>-53247.480000000032</v>
      </c>
      <c r="C205" s="49"/>
    </row>
    <row r="206" spans="1:3">
      <c r="A206" s="6">
        <v>13507.72</v>
      </c>
      <c r="B206" s="47">
        <f t="shared" si="5"/>
        <v>-39739.760000000031</v>
      </c>
      <c r="C206" s="49">
        <v>25.99</v>
      </c>
    </row>
    <row r="207" spans="1:3">
      <c r="A207" s="6">
        <v>-67548.5</v>
      </c>
      <c r="B207" s="47">
        <f t="shared" si="5"/>
        <v>-107288.26000000004</v>
      </c>
      <c r="C207" s="49"/>
    </row>
    <row r="208" spans="1:3">
      <c r="A208" s="6">
        <v>67591.929999999993</v>
      </c>
      <c r="B208" s="47">
        <f t="shared" si="5"/>
        <v>-39696.330000000045</v>
      </c>
      <c r="C208" s="49">
        <v>43.43</v>
      </c>
    </row>
    <row r="209" spans="1:3">
      <c r="A209" s="6">
        <v>-67595.47</v>
      </c>
      <c r="B209" s="47">
        <f t="shared" si="5"/>
        <v>-107291.80000000005</v>
      </c>
      <c r="C209" s="49"/>
    </row>
    <row r="210" spans="1:3">
      <c r="A210" s="6">
        <v>67621.599999999991</v>
      </c>
      <c r="B210" s="47">
        <f t="shared" si="5"/>
        <v>-39670.200000000055</v>
      </c>
      <c r="C210" s="49">
        <v>26.13</v>
      </c>
    </row>
    <row r="211" spans="1:3">
      <c r="A211" s="6">
        <v>-67632</v>
      </c>
      <c r="B211" s="47">
        <f t="shared" si="5"/>
        <v>-107302.20000000006</v>
      </c>
      <c r="C211" s="49"/>
    </row>
    <row r="212" spans="1:3">
      <c r="A212" s="6">
        <v>67613.09</v>
      </c>
      <c r="B212" s="47">
        <f t="shared" si="5"/>
        <v>-39689.110000000059</v>
      </c>
      <c r="C212" s="49">
        <v>-18.91</v>
      </c>
    </row>
    <row r="213" spans="1:3">
      <c r="A213" s="6">
        <v>-27098.2</v>
      </c>
      <c r="B213" s="47">
        <f t="shared" si="5"/>
        <v>-66787.310000000056</v>
      </c>
      <c r="C213" s="49"/>
    </row>
    <row r="214" spans="1:3">
      <c r="A214" s="6">
        <v>-40647.300000000003</v>
      </c>
      <c r="B214" s="47">
        <f t="shared" si="5"/>
        <v>-107434.61000000006</v>
      </c>
      <c r="C214" s="49"/>
    </row>
    <row r="215" spans="1:3">
      <c r="A215" s="6">
        <v>67767.08</v>
      </c>
      <c r="B215" s="47">
        <f t="shared" si="5"/>
        <v>-39667.530000000057</v>
      </c>
      <c r="C215" s="49">
        <v>21.58</v>
      </c>
    </row>
    <row r="216" spans="1:3" ht="17.25" customHeight="1" thickBot="1">
      <c r="A216" s="41"/>
      <c r="B216" s="50" t="s">
        <v>2</v>
      </c>
      <c r="C216" s="51">
        <f>SUM(C186:C215)</f>
        <v>93.89</v>
      </c>
    </row>
    <row r="217" spans="1:3" ht="17.25" customHeight="1" thickTop="1">
      <c r="A217" s="41"/>
      <c r="B217" s="50" t="s">
        <v>3</v>
      </c>
      <c r="C217" s="52">
        <f>+B215-B185</f>
        <v>93.88999999994121</v>
      </c>
    </row>
    <row r="218" spans="1:3">
      <c r="A218" s="41"/>
      <c r="B218" s="47"/>
      <c r="C218" s="41"/>
    </row>
    <row r="219" spans="1:3">
      <c r="A219" s="41"/>
      <c r="B219" s="47"/>
      <c r="C219" s="41"/>
    </row>
    <row r="220" spans="1:3">
      <c r="A220" s="41" t="s">
        <v>21</v>
      </c>
      <c r="B220" s="50" t="s">
        <v>5</v>
      </c>
      <c r="C220" s="50">
        <f>SUMIF(A186:A215,"&lt;0")</f>
        <v>-945477.32</v>
      </c>
    </row>
    <row r="221" spans="1:3">
      <c r="A221" s="41" t="str">
        <f>"SPY " &amp; COUNT(C186:C215) * 100 &amp; "股"</f>
        <v>SPY 1400股</v>
      </c>
      <c r="B221" s="50" t="s">
        <v>6</v>
      </c>
      <c r="C221" s="50">
        <f>SUMIF(A186:A215,"&gt;0")</f>
        <v>945571.20999999985</v>
      </c>
    </row>
    <row r="222" spans="1:3" ht="17.25" customHeight="1" thickBot="1">
      <c r="A222" s="46"/>
      <c r="B222" s="50" t="s">
        <v>7</v>
      </c>
      <c r="C222" s="51">
        <f>+C220+C221</f>
        <v>93.889999999897555</v>
      </c>
    </row>
    <row r="223" spans="1:3" ht="17.25" customHeight="1" thickTop="1">
      <c r="A223" s="46"/>
      <c r="B223" s="50" t="s">
        <v>8</v>
      </c>
      <c r="C223" s="36">
        <f>C222/ABS(C220)</f>
        <v>9.9304338680379514E-5</v>
      </c>
    </row>
    <row r="224" spans="1:3">
      <c r="A224" s="46"/>
      <c r="B224" s="41"/>
      <c r="C224" s="54">
        <f>+A222+A223+A224</f>
        <v>0</v>
      </c>
    </row>
    <row r="225" spans="1:3">
      <c r="A225" s="41" t="s">
        <v>10</v>
      </c>
      <c r="B225" s="41"/>
      <c r="C225" s="41"/>
    </row>
    <row r="226" spans="1:3">
      <c r="A226" s="41" t="s">
        <v>11</v>
      </c>
      <c r="B226" s="41" t="s">
        <v>12</v>
      </c>
      <c r="C226" s="50">
        <v>-68407</v>
      </c>
    </row>
    <row r="227" spans="1:3">
      <c r="A227" s="41" t="s">
        <v>13</v>
      </c>
      <c r="B227" s="41" t="s">
        <v>12</v>
      </c>
      <c r="C227" s="49">
        <v>-68311.62</v>
      </c>
    </row>
    <row r="228" spans="1:3">
      <c r="A228" s="5"/>
      <c r="B228" s="41"/>
      <c r="C228" s="41"/>
    </row>
    <row r="229" spans="1:3">
      <c r="A229" s="5"/>
      <c r="B229" s="41"/>
      <c r="C229" s="41"/>
    </row>
    <row r="230" spans="1:3" ht="30.75" customHeight="1" thickBot="1">
      <c r="A230" s="46" t="s">
        <v>22</v>
      </c>
      <c r="B230" s="47">
        <v>-39916.29</v>
      </c>
      <c r="C230" s="48" t="s">
        <v>1</v>
      </c>
    </row>
    <row r="231" spans="1:3" ht="17.25" customHeight="1" thickBot="1">
      <c r="A231" s="7">
        <v>-8170.2</v>
      </c>
      <c r="B231" s="47">
        <f t="shared" ref="B231:B257" si="6">+B230+A231</f>
        <v>-48086.49</v>
      </c>
      <c r="C231" s="49"/>
    </row>
    <row r="232" spans="1:3" ht="17.25" customHeight="1" thickBot="1">
      <c r="A232" s="7">
        <v>-59915.67</v>
      </c>
      <c r="B232" s="47">
        <f t="shared" si="6"/>
        <v>-108002.16</v>
      </c>
      <c r="C232" s="49"/>
    </row>
    <row r="233" spans="1:3" ht="17.25" customHeight="1" thickBot="1">
      <c r="A233" s="7">
        <v>68025.08</v>
      </c>
      <c r="B233" s="47">
        <f t="shared" si="6"/>
        <v>-39977.08</v>
      </c>
      <c r="C233" s="49">
        <v>-60.79</v>
      </c>
    </row>
    <row r="234" spans="1:3" ht="17.25" customHeight="1" thickBot="1">
      <c r="A234" s="7">
        <v>-68077.41</v>
      </c>
      <c r="B234" s="47">
        <f t="shared" si="6"/>
        <v>-108054.49</v>
      </c>
      <c r="C234" s="49"/>
    </row>
    <row r="235" spans="1:3" ht="17.25" customHeight="1" thickBot="1">
      <c r="A235" s="7">
        <v>68116.88</v>
      </c>
      <c r="B235" s="47">
        <f t="shared" si="6"/>
        <v>-39937.61</v>
      </c>
      <c r="C235" s="49">
        <v>39.47</v>
      </c>
    </row>
    <row r="236" spans="1:3" ht="17.25" customHeight="1" thickBot="1">
      <c r="A236" s="7">
        <v>-68138.17</v>
      </c>
      <c r="B236" s="47">
        <f t="shared" si="6"/>
        <v>-108075.78</v>
      </c>
      <c r="C236" s="49"/>
    </row>
    <row r="237" spans="1:3" ht="17.25" customHeight="1" thickBot="1">
      <c r="A237" s="7">
        <v>68131.5</v>
      </c>
      <c r="B237" s="47">
        <f t="shared" si="6"/>
        <v>-39944.28</v>
      </c>
      <c r="C237" s="49">
        <v>-6.67</v>
      </c>
    </row>
    <row r="238" spans="1:3" ht="17.25" customHeight="1" thickBot="1">
      <c r="A238" s="7">
        <v>-68120.31</v>
      </c>
      <c r="B238" s="47">
        <f t="shared" si="6"/>
        <v>-108064.59</v>
      </c>
      <c r="C238" s="49"/>
    </row>
    <row r="239" spans="1:3" ht="17.25" customHeight="1" thickBot="1">
      <c r="A239" s="7">
        <v>3406.21</v>
      </c>
      <c r="B239" s="47">
        <f t="shared" si="6"/>
        <v>-104658.37999999999</v>
      </c>
      <c r="C239" s="49"/>
    </row>
    <row r="240" spans="1:3" ht="17.25" customHeight="1" thickBot="1">
      <c r="A240" s="7">
        <v>27249.43</v>
      </c>
      <c r="B240" s="47">
        <f t="shared" si="6"/>
        <v>-77408.949999999983</v>
      </c>
      <c r="C240" s="49"/>
    </row>
    <row r="241" spans="1:3" ht="17.25" customHeight="1" thickBot="1">
      <c r="A241" s="7">
        <v>8855.9500000000007</v>
      </c>
      <c r="B241" s="47">
        <f t="shared" si="6"/>
        <v>-68552.999999999985</v>
      </c>
      <c r="C241" s="49"/>
    </row>
    <row r="242" spans="1:3" ht="17.25" customHeight="1" thickBot="1">
      <c r="A242" s="7">
        <v>28611.48</v>
      </c>
      <c r="B242" s="47">
        <f t="shared" si="6"/>
        <v>-39941.51999999999</v>
      </c>
      <c r="C242" s="49">
        <v>2.76</v>
      </c>
    </row>
    <row r="243" spans="1:3" ht="17.25" customHeight="1" thickBot="1">
      <c r="A243" s="7">
        <v>-68145.990000000005</v>
      </c>
      <c r="B243" s="47">
        <f t="shared" si="6"/>
        <v>-108087.51</v>
      </c>
      <c r="C243" s="49"/>
    </row>
    <row r="244" spans="1:3" ht="17.25" customHeight="1" thickBot="1">
      <c r="A244" s="7">
        <v>68148.89</v>
      </c>
      <c r="B244" s="47">
        <f t="shared" si="6"/>
        <v>-39938.619999999995</v>
      </c>
      <c r="C244" s="49">
        <v>2.9</v>
      </c>
    </row>
    <row r="245" spans="1:3" ht="17.25" customHeight="1" thickBot="1">
      <c r="A245" s="7">
        <v>-68133.740000000005</v>
      </c>
      <c r="B245" s="47">
        <f t="shared" si="6"/>
        <v>-108072.36</v>
      </c>
      <c r="C245" s="49"/>
    </row>
    <row r="246" spans="1:3" ht="17.25" customHeight="1" thickBot="1">
      <c r="A246" s="7">
        <v>68148.58</v>
      </c>
      <c r="B246" s="47">
        <f t="shared" si="6"/>
        <v>-39923.78</v>
      </c>
      <c r="C246" s="49">
        <v>14.84</v>
      </c>
    </row>
    <row r="247" spans="1:3" ht="17.25" customHeight="1" thickBot="1">
      <c r="A247" s="8">
        <v>-68068</v>
      </c>
      <c r="B247" s="47">
        <f t="shared" si="6"/>
        <v>-107991.78</v>
      </c>
      <c r="C247" s="49"/>
    </row>
    <row r="248" spans="1:3" ht="17.25" customHeight="1" thickBot="1">
      <c r="A248" s="7">
        <v>-67920.66</v>
      </c>
      <c r="B248" s="47">
        <f t="shared" si="6"/>
        <v>-175912.44</v>
      </c>
      <c r="C248" s="49"/>
    </row>
    <row r="249" spans="1:3" ht="17.25" customHeight="1" thickBot="1">
      <c r="A249" s="7">
        <v>54362.06</v>
      </c>
      <c r="B249" s="47">
        <f t="shared" si="6"/>
        <v>-121550.38</v>
      </c>
      <c r="C249" s="49"/>
    </row>
    <row r="250" spans="1:3" ht="17.25" customHeight="1" thickBot="1">
      <c r="A250" s="7">
        <v>13590.32</v>
      </c>
      <c r="B250" s="47">
        <f t="shared" si="6"/>
        <v>-107960.06</v>
      </c>
      <c r="C250" s="49">
        <v>31.72</v>
      </c>
    </row>
    <row r="251" spans="1:3" ht="17.25" customHeight="1" thickBot="1">
      <c r="A251" s="7">
        <v>-40742.39</v>
      </c>
      <c r="B251" s="47">
        <f t="shared" si="6"/>
        <v>-148702.45000000001</v>
      </c>
      <c r="C251" s="49"/>
    </row>
    <row r="252" spans="1:3" ht="17.25" customHeight="1" thickBot="1">
      <c r="A252" s="7">
        <v>-27161.599999999999</v>
      </c>
      <c r="B252" s="47">
        <f t="shared" si="6"/>
        <v>-175864.05000000002</v>
      </c>
      <c r="C252" s="49"/>
    </row>
    <row r="253" spans="1:3" ht="17.25" customHeight="1" thickBot="1">
      <c r="A253" s="7">
        <v>67854.740000000005</v>
      </c>
      <c r="B253" s="47">
        <f t="shared" si="6"/>
        <v>-108009.31000000001</v>
      </c>
      <c r="C253" s="49">
        <v>-49.25</v>
      </c>
    </row>
    <row r="254" spans="1:3" ht="17.25" customHeight="1" thickBot="1">
      <c r="A254" s="7">
        <v>-67938.5</v>
      </c>
      <c r="B254" s="47">
        <f t="shared" si="6"/>
        <v>-175947.81</v>
      </c>
      <c r="C254" s="49"/>
    </row>
    <row r="255" spans="1:3" ht="17.25" customHeight="1" thickBot="1">
      <c r="A255" s="7">
        <v>37372.28</v>
      </c>
      <c r="B255" s="47">
        <f t="shared" si="6"/>
        <v>-138575.53</v>
      </c>
      <c r="C255" s="49"/>
    </row>
    <row r="256" spans="1:3" ht="17.25" customHeight="1" thickBot="1">
      <c r="A256" s="7">
        <v>30577.31</v>
      </c>
      <c r="B256" s="47">
        <f t="shared" si="6"/>
        <v>-107998.22</v>
      </c>
      <c r="C256" s="49">
        <v>11.09</v>
      </c>
    </row>
    <row r="257" spans="1:3" ht="17.25" customHeight="1" thickBot="1">
      <c r="A257" s="8">
        <v>67940.009999999995</v>
      </c>
      <c r="B257" s="47">
        <f t="shared" si="6"/>
        <v>-40058.210000000006</v>
      </c>
      <c r="C257" s="49">
        <v>-127.99</v>
      </c>
    </row>
    <row r="258" spans="1:3" ht="17.25" customHeight="1" thickBot="1">
      <c r="A258" s="41"/>
      <c r="B258" s="50" t="s">
        <v>2</v>
      </c>
      <c r="C258" s="51">
        <f>SUM(C231:C257)</f>
        <v>-141.92000000000002</v>
      </c>
    </row>
    <row r="259" spans="1:3" ht="17.25" customHeight="1" thickTop="1">
      <c r="A259" s="41"/>
      <c r="B259" s="50" t="s">
        <v>3</v>
      </c>
      <c r="C259" s="52">
        <f>+B257-B230</f>
        <v>-141.92000000000553</v>
      </c>
    </row>
    <row r="260" spans="1:3">
      <c r="A260" s="41"/>
      <c r="B260" s="47"/>
      <c r="C260" s="41"/>
    </row>
    <row r="261" spans="1:3">
      <c r="A261" s="41"/>
      <c r="B261" s="47"/>
      <c r="C261" s="41"/>
    </row>
    <row r="262" spans="1:3">
      <c r="A262" s="41" t="s">
        <v>23</v>
      </c>
      <c r="B262" s="50" t="s">
        <v>5</v>
      </c>
      <c r="C262" s="50">
        <f>SUMIF(A228:A257,"&lt;0")</f>
        <v>-680532.64</v>
      </c>
    </row>
    <row r="263" spans="1:3">
      <c r="A263" s="41" t="str">
        <f>"SPY " &amp; COUNT(C228:C257) * 100 &amp; "股"</f>
        <v>SPY 1000股</v>
      </c>
      <c r="B263" s="50" t="s">
        <v>6</v>
      </c>
      <c r="C263" s="50">
        <f>SUMIF(A228:A257,"&gt;0")</f>
        <v>680390.7200000002</v>
      </c>
    </row>
    <row r="264" spans="1:3" ht="17.25" customHeight="1" thickBot="1">
      <c r="A264" s="46"/>
      <c r="B264" s="50" t="s">
        <v>7</v>
      </c>
      <c r="C264" s="51">
        <f>+C262+C263</f>
        <v>-141.91999999980908</v>
      </c>
    </row>
    <row r="265" spans="1:3" ht="17.25" customHeight="1" thickTop="1">
      <c r="A265" s="46"/>
      <c r="B265" s="50" t="s">
        <v>8</v>
      </c>
      <c r="C265" s="36">
        <f>C264/ABS(C262)</f>
        <v>-2.0854253221389804E-4</v>
      </c>
    </row>
    <row r="266" spans="1:3">
      <c r="A266" s="46"/>
      <c r="B266" s="41"/>
      <c r="C266" s="54">
        <f>+A264+A265+A266</f>
        <v>0</v>
      </c>
    </row>
    <row r="267" spans="1:3">
      <c r="A267" s="41" t="s">
        <v>10</v>
      </c>
      <c r="B267" s="41"/>
      <c r="C267" s="41"/>
    </row>
    <row r="268" spans="1:3">
      <c r="A268" s="41" t="s">
        <v>11</v>
      </c>
      <c r="B268" s="41" t="s">
        <v>12</v>
      </c>
      <c r="C268" s="50">
        <v>-68407</v>
      </c>
    </row>
    <row r="269" spans="1:3">
      <c r="A269" s="41" t="s">
        <v>13</v>
      </c>
      <c r="B269" s="41" t="s">
        <v>12</v>
      </c>
      <c r="C269" s="49">
        <v>-68311.62</v>
      </c>
    </row>
    <row r="270" spans="1:3">
      <c r="A270" s="5"/>
      <c r="B270" s="41"/>
      <c r="C270" s="41"/>
    </row>
    <row r="271" spans="1:3">
      <c r="A271" s="5"/>
      <c r="B271" s="41"/>
      <c r="C271" s="41"/>
    </row>
    <row r="272" spans="1:3">
      <c r="A272" s="5"/>
      <c r="B272" s="41"/>
      <c r="C272" s="41"/>
    </row>
    <row r="273" spans="1:3" ht="30" customHeight="1">
      <c r="A273" s="46" t="s">
        <v>24</v>
      </c>
      <c r="B273" s="47">
        <v>-39822.400000000001</v>
      </c>
      <c r="C273" s="48" t="s">
        <v>1</v>
      </c>
    </row>
    <row r="274" spans="1:3">
      <c r="A274" s="2">
        <v>67930.58</v>
      </c>
      <c r="B274" s="47">
        <f t="shared" ref="B274:B305" si="7">+B273+A274</f>
        <v>28108.18</v>
      </c>
      <c r="C274" s="49"/>
    </row>
    <row r="275" spans="1:3">
      <c r="A275" s="2">
        <v>-61142.84</v>
      </c>
      <c r="B275" s="47">
        <f t="shared" si="7"/>
        <v>-33034.659999999996</v>
      </c>
      <c r="C275" s="49"/>
    </row>
    <row r="276" spans="1:3">
      <c r="A276" s="2">
        <v>-6793.65</v>
      </c>
      <c r="B276" s="47">
        <f t="shared" si="7"/>
        <v>-39828.31</v>
      </c>
      <c r="C276" s="49">
        <v>-5.91</v>
      </c>
    </row>
    <row r="277" spans="1:3">
      <c r="A277" s="2">
        <v>67892.08</v>
      </c>
      <c r="B277" s="47">
        <f t="shared" si="7"/>
        <v>28063.770000000004</v>
      </c>
      <c r="C277" s="49"/>
    </row>
    <row r="278" spans="1:3">
      <c r="A278" s="2">
        <v>-67872</v>
      </c>
      <c r="B278" s="47">
        <f t="shared" si="7"/>
        <v>-39808.229999999996</v>
      </c>
      <c r="C278" s="49">
        <v>20.079999999999998</v>
      </c>
    </row>
    <row r="279" spans="1:3">
      <c r="A279" s="2">
        <v>-67994.5</v>
      </c>
      <c r="B279" s="47">
        <f t="shared" si="7"/>
        <v>-107802.73</v>
      </c>
      <c r="C279" s="49"/>
    </row>
    <row r="280" spans="1:3">
      <c r="A280" s="2">
        <v>67938.36</v>
      </c>
      <c r="B280" s="47">
        <f t="shared" si="7"/>
        <v>-39864.369999999995</v>
      </c>
      <c r="C280" s="49">
        <v>-56.14</v>
      </c>
    </row>
    <row r="281" spans="1:3">
      <c r="A281" s="2">
        <v>67940.58</v>
      </c>
      <c r="B281" s="47">
        <f t="shared" si="7"/>
        <v>28076.210000000006</v>
      </c>
      <c r="C281" s="49"/>
    </row>
    <row r="282" spans="1:3">
      <c r="A282" s="2">
        <v>-67952.009999999995</v>
      </c>
      <c r="B282" s="47">
        <f t="shared" si="7"/>
        <v>-39875.799999999988</v>
      </c>
      <c r="C282" s="49">
        <v>-11.43</v>
      </c>
    </row>
    <row r="283" spans="1:3">
      <c r="A283" s="2">
        <v>-67960</v>
      </c>
      <c r="B283" s="47">
        <f t="shared" si="7"/>
        <v>-107835.79999999999</v>
      </c>
      <c r="C283" s="49"/>
    </row>
    <row r="284" spans="1:3">
      <c r="A284" s="2">
        <v>67961.08</v>
      </c>
      <c r="B284" s="47">
        <f t="shared" si="7"/>
        <v>-39874.719999999987</v>
      </c>
      <c r="C284" s="49">
        <v>1.08</v>
      </c>
    </row>
    <row r="285" spans="1:3">
      <c r="A285" s="2">
        <v>-68040.5</v>
      </c>
      <c r="B285" s="47">
        <f t="shared" si="7"/>
        <v>-107915.21999999999</v>
      </c>
      <c r="C285" s="49"/>
    </row>
    <row r="286" spans="1:3">
      <c r="A286" s="2">
        <v>68043.08</v>
      </c>
      <c r="B286" s="47">
        <f t="shared" si="7"/>
        <v>-39872.139999999985</v>
      </c>
      <c r="C286" s="49">
        <v>2.58</v>
      </c>
    </row>
    <row r="287" spans="1:3">
      <c r="A287" s="2">
        <v>67994.89</v>
      </c>
      <c r="B287" s="47">
        <f t="shared" si="7"/>
        <v>28122.750000000015</v>
      </c>
      <c r="C287" s="49"/>
    </row>
    <row r="288" spans="1:3">
      <c r="A288" s="2">
        <v>-58501.89</v>
      </c>
      <c r="B288" s="47">
        <f t="shared" si="7"/>
        <v>-30379.139999999985</v>
      </c>
      <c r="C288" s="49"/>
    </row>
    <row r="289" spans="1:3">
      <c r="A289" s="2">
        <v>-9523.56</v>
      </c>
      <c r="B289" s="47">
        <f t="shared" si="7"/>
        <v>-39902.699999999983</v>
      </c>
      <c r="C289" s="49">
        <v>-30.56</v>
      </c>
    </row>
    <row r="290" spans="1:3">
      <c r="A290" s="2">
        <v>-67996.5</v>
      </c>
      <c r="B290" s="47">
        <f t="shared" si="7"/>
        <v>-107899.19999999998</v>
      </c>
      <c r="C290" s="49"/>
    </row>
    <row r="291" spans="1:3">
      <c r="A291" s="2">
        <v>68008.08</v>
      </c>
      <c r="B291" s="47">
        <f t="shared" si="7"/>
        <v>-39891.119999999981</v>
      </c>
      <c r="C291" s="49">
        <v>11.58</v>
      </c>
    </row>
    <row r="292" spans="1:3">
      <c r="A292" s="2">
        <v>67961.08</v>
      </c>
      <c r="B292" s="47">
        <f t="shared" si="7"/>
        <v>28069.960000000021</v>
      </c>
      <c r="C292" s="49"/>
    </row>
    <row r="293" spans="1:3">
      <c r="A293" s="2">
        <v>-67994</v>
      </c>
      <c r="B293" s="47">
        <f t="shared" si="7"/>
        <v>-39924.039999999979</v>
      </c>
      <c r="C293" s="49">
        <v>-32.92</v>
      </c>
    </row>
    <row r="294" spans="1:3">
      <c r="A294" s="2">
        <v>-9519.86</v>
      </c>
      <c r="B294" s="47">
        <f t="shared" si="7"/>
        <v>-49443.89999999998</v>
      </c>
      <c r="C294" s="49"/>
    </row>
    <row r="295" spans="1:3">
      <c r="A295" s="2">
        <v>-27199.59</v>
      </c>
      <c r="B295" s="47">
        <f t="shared" si="7"/>
        <v>-76643.489999999976</v>
      </c>
      <c r="C295" s="49"/>
    </row>
    <row r="296" spans="1:3">
      <c r="A296" s="2">
        <v>-31279.54</v>
      </c>
      <c r="B296" s="47">
        <f t="shared" si="7"/>
        <v>-107923.02999999997</v>
      </c>
      <c r="C296" s="49"/>
    </row>
    <row r="297" spans="1:3">
      <c r="A297" s="2">
        <v>679.6</v>
      </c>
      <c r="B297" s="47">
        <f t="shared" si="7"/>
        <v>-107243.42999999996</v>
      </c>
      <c r="C297" s="49"/>
    </row>
    <row r="298" spans="1:3">
      <c r="A298" s="2">
        <v>67279.8</v>
      </c>
      <c r="B298" s="47">
        <f t="shared" si="7"/>
        <v>-39963.629999999961</v>
      </c>
      <c r="C298" s="49">
        <v>-39.590000000000003</v>
      </c>
    </row>
    <row r="299" spans="1:3">
      <c r="A299" s="2">
        <v>67950.58</v>
      </c>
      <c r="B299" s="47">
        <f t="shared" si="7"/>
        <v>27986.950000000041</v>
      </c>
      <c r="C299" s="49"/>
    </row>
    <row r="300" spans="1:3">
      <c r="A300" s="2">
        <v>-27181.599999999999</v>
      </c>
      <c r="B300" s="47">
        <f t="shared" si="7"/>
        <v>805.3500000000422</v>
      </c>
      <c r="C300" s="49"/>
    </row>
    <row r="301" spans="1:3">
      <c r="A301" s="2">
        <v>-40772.400000000001</v>
      </c>
      <c r="B301" s="47">
        <f t="shared" si="7"/>
        <v>-39967.049999999959</v>
      </c>
      <c r="C301" s="49">
        <v>-3.42</v>
      </c>
    </row>
    <row r="302" spans="1:3">
      <c r="A302" s="2">
        <v>67951.59</v>
      </c>
      <c r="B302" s="47">
        <f t="shared" si="7"/>
        <v>27984.540000000037</v>
      </c>
      <c r="C302" s="49"/>
    </row>
    <row r="303" spans="1:3">
      <c r="A303" s="2">
        <v>-67972.5</v>
      </c>
      <c r="B303" s="47">
        <f t="shared" si="7"/>
        <v>-39987.959999999963</v>
      </c>
      <c r="C303" s="49">
        <v>-20.91</v>
      </c>
    </row>
    <row r="304" spans="1:3">
      <c r="A304" s="2">
        <v>-67940.990000000005</v>
      </c>
      <c r="B304" s="47">
        <f t="shared" si="7"/>
        <v>-107928.94999999997</v>
      </c>
      <c r="C304" s="49"/>
    </row>
    <row r="305" spans="1:3">
      <c r="A305" s="2">
        <v>40770.36</v>
      </c>
      <c r="B305" s="47">
        <f t="shared" si="7"/>
        <v>-67158.589999999967</v>
      </c>
      <c r="C305" s="49"/>
    </row>
    <row r="306" spans="1:3">
      <c r="A306" s="2">
        <v>27180.23</v>
      </c>
      <c r="B306" s="47">
        <f t="shared" ref="B306:B323" si="8">+B305+A306</f>
        <v>-39978.359999999971</v>
      </c>
      <c r="C306" s="49">
        <v>9.6</v>
      </c>
    </row>
    <row r="307" spans="1:3">
      <c r="A307" s="2">
        <v>-67946.080000000002</v>
      </c>
      <c r="B307" s="47">
        <f t="shared" si="8"/>
        <v>-107924.43999999997</v>
      </c>
      <c r="C307" s="49"/>
    </row>
    <row r="308" spans="1:3">
      <c r="A308" s="2">
        <v>67962.59</v>
      </c>
      <c r="B308" s="47">
        <f t="shared" si="8"/>
        <v>-39961.849999999977</v>
      </c>
      <c r="C308" s="49">
        <v>16.510000000000002</v>
      </c>
    </row>
    <row r="309" spans="1:3">
      <c r="A309" s="2">
        <v>-67963.990000000005</v>
      </c>
      <c r="B309" s="47">
        <f t="shared" si="8"/>
        <v>-107925.83999999998</v>
      </c>
      <c r="C309" s="49"/>
    </row>
    <row r="310" spans="1:3">
      <c r="A310" s="2">
        <v>67996.58</v>
      </c>
      <c r="B310" s="47">
        <f t="shared" si="8"/>
        <v>-39929.25999999998</v>
      </c>
      <c r="C310" s="49">
        <v>32.590000000000003</v>
      </c>
    </row>
    <row r="311" spans="1:3">
      <c r="A311" s="2">
        <v>-67960.960000000006</v>
      </c>
      <c r="B311" s="47">
        <f t="shared" si="8"/>
        <v>-107890.21999999999</v>
      </c>
      <c r="C311" s="49"/>
    </row>
    <row r="312" spans="1:3">
      <c r="A312" s="2">
        <v>67937.08</v>
      </c>
      <c r="B312" s="47">
        <f t="shared" si="8"/>
        <v>-39953.139999999985</v>
      </c>
      <c r="C312" s="49">
        <v>-23.88</v>
      </c>
    </row>
    <row r="313" spans="1:3">
      <c r="A313" s="2">
        <v>-67908.990000000005</v>
      </c>
      <c r="B313" s="47">
        <f t="shared" si="8"/>
        <v>-107862.12999999999</v>
      </c>
      <c r="C313" s="49"/>
    </row>
    <row r="314" spans="1:3">
      <c r="A314" s="2">
        <v>67921.08</v>
      </c>
      <c r="B314" s="47">
        <f t="shared" si="8"/>
        <v>-39941.049999999988</v>
      </c>
      <c r="C314" s="49">
        <v>12.09</v>
      </c>
    </row>
    <row r="315" spans="1:3">
      <c r="A315" s="2">
        <v>-67921</v>
      </c>
      <c r="B315" s="47">
        <f t="shared" si="8"/>
        <v>-107862.04999999999</v>
      </c>
      <c r="C315" s="49"/>
    </row>
    <row r="316" spans="1:3">
      <c r="A316" s="2">
        <v>67958.080000000002</v>
      </c>
      <c r="B316" s="47">
        <f t="shared" si="8"/>
        <v>-39903.969999999987</v>
      </c>
      <c r="C316" s="49">
        <v>37.08</v>
      </c>
    </row>
    <row r="317" spans="1:3">
      <c r="A317" s="2">
        <v>-67987</v>
      </c>
      <c r="B317" s="47">
        <f t="shared" si="8"/>
        <v>-107890.96999999999</v>
      </c>
      <c r="C317" s="49"/>
    </row>
    <row r="318" spans="1:3">
      <c r="A318" s="2">
        <v>67988.97</v>
      </c>
      <c r="B318" s="47">
        <f t="shared" si="8"/>
        <v>-39901.999999999985</v>
      </c>
      <c r="C318" s="49">
        <v>1.97</v>
      </c>
    </row>
    <row r="319" spans="1:3">
      <c r="A319" s="2">
        <v>-68231.5</v>
      </c>
      <c r="B319" s="47">
        <f t="shared" si="8"/>
        <v>-108133.49999999999</v>
      </c>
      <c r="C319" s="49"/>
    </row>
    <row r="320" spans="1:3">
      <c r="A320" s="2">
        <v>27293.03</v>
      </c>
      <c r="B320" s="47">
        <f t="shared" si="8"/>
        <v>-80840.469999999987</v>
      </c>
      <c r="C320" s="49"/>
    </row>
    <row r="321" spans="1:3">
      <c r="A321" s="2">
        <v>40938.949999999997</v>
      </c>
      <c r="B321" s="47">
        <f t="shared" si="8"/>
        <v>-39901.51999999999</v>
      </c>
      <c r="C321" s="49">
        <v>0.48</v>
      </c>
    </row>
    <row r="322" spans="1:3">
      <c r="A322" s="2">
        <v>-68241</v>
      </c>
      <c r="B322" s="47">
        <f t="shared" si="8"/>
        <v>-108142.51999999999</v>
      </c>
      <c r="C322" s="49"/>
    </row>
    <row r="323" spans="1:3">
      <c r="A323" s="2">
        <v>68237.47</v>
      </c>
      <c r="B323" s="47">
        <f t="shared" si="8"/>
        <v>-39905.049999999988</v>
      </c>
      <c r="C323" s="49">
        <v>-3.53</v>
      </c>
    </row>
    <row r="324" spans="1:3" ht="17.25" customHeight="1" thickBot="1">
      <c r="A324" s="41"/>
      <c r="B324" s="50" t="s">
        <v>2</v>
      </c>
      <c r="C324" s="51">
        <f>SUM(C274:C323)</f>
        <v>-82.65</v>
      </c>
    </row>
    <row r="325" spans="1:3" ht="17.25" customHeight="1" thickTop="1">
      <c r="A325" s="41"/>
      <c r="B325" s="50" t="s">
        <v>3</v>
      </c>
      <c r="C325" s="52">
        <f>+B323-B273</f>
        <v>-82.649999999986903</v>
      </c>
    </row>
    <row r="326" spans="1:3">
      <c r="A326" s="41"/>
      <c r="B326" s="47"/>
      <c r="C326" s="41"/>
    </row>
    <row r="327" spans="1:3">
      <c r="A327" s="41"/>
      <c r="B327" s="47"/>
      <c r="C327" s="41"/>
    </row>
    <row r="328" spans="1:3">
      <c r="A328" s="41" t="s">
        <v>25</v>
      </c>
      <c r="B328" s="50" t="s">
        <v>5</v>
      </c>
      <c r="C328" s="50">
        <f>SUMIF(A274:A323,"&lt;0")</f>
        <v>-1427798.45</v>
      </c>
    </row>
    <row r="329" spans="1:3">
      <c r="A329" s="41" t="str">
        <f>"SPY " &amp; COUNT(C274:C323) * 100 &amp; "股"</f>
        <v>SPY 2100股</v>
      </c>
      <c r="B329" s="50" t="s">
        <v>6</v>
      </c>
      <c r="C329" s="50">
        <f>SUMIF(A274:A323,"&gt;0")</f>
        <v>1427715.8</v>
      </c>
    </row>
    <row r="330" spans="1:3" ht="17.25" customHeight="1" thickBot="1">
      <c r="A330" s="46"/>
      <c r="B330" s="50" t="s">
        <v>7</v>
      </c>
      <c r="C330" s="51">
        <f>+C328+C329</f>
        <v>-82.649999999906868</v>
      </c>
    </row>
    <row r="331" spans="1:3" ht="17.25" customHeight="1" thickTop="1">
      <c r="A331" s="46"/>
      <c r="B331" s="50" t="s">
        <v>8</v>
      </c>
      <c r="C331" s="36">
        <f>C330/ABS(C328)</f>
        <v>-5.788632142016044E-5</v>
      </c>
    </row>
    <row r="332" spans="1:3">
      <c r="A332" s="46"/>
      <c r="B332" s="41"/>
      <c r="C332" s="54">
        <f>+A330+A331+A332</f>
        <v>0</v>
      </c>
    </row>
    <row r="333" spans="1:3">
      <c r="A333" s="41" t="s">
        <v>10</v>
      </c>
      <c r="B333" s="41"/>
      <c r="C333" s="41"/>
    </row>
    <row r="334" spans="1:3">
      <c r="A334" s="41" t="s">
        <v>11</v>
      </c>
      <c r="B334" s="41" t="s">
        <v>12</v>
      </c>
      <c r="C334" s="50">
        <v>-68407</v>
      </c>
    </row>
    <row r="335" spans="1:3">
      <c r="A335" s="41" t="s">
        <v>13</v>
      </c>
      <c r="B335" s="41" t="s">
        <v>12</v>
      </c>
      <c r="C335" s="49">
        <v>-68311.62</v>
      </c>
    </row>
    <row r="336" spans="1:3">
      <c r="A336" s="5"/>
      <c r="B336" s="41"/>
      <c r="C336" s="41"/>
    </row>
    <row r="337" spans="1:3">
      <c r="A337" s="5"/>
      <c r="B337" s="41"/>
      <c r="C337" s="41"/>
    </row>
    <row r="338" spans="1:3">
      <c r="A338" s="5"/>
      <c r="B338" s="41"/>
      <c r="C338" s="41"/>
    </row>
    <row r="339" spans="1:3" ht="30.75" customHeight="1" thickBot="1">
      <c r="A339" s="46" t="s">
        <v>26</v>
      </c>
      <c r="B339" s="47">
        <v>-39964.32</v>
      </c>
      <c r="C339" s="48" t="s">
        <v>1</v>
      </c>
    </row>
    <row r="340" spans="1:3" ht="17.25" customHeight="1" thickBot="1">
      <c r="A340" s="7">
        <v>-68970.679999999993</v>
      </c>
      <c r="B340" s="47">
        <f t="shared" ref="B340:B358" si="9">+B339+A340</f>
        <v>-108935</v>
      </c>
      <c r="C340" s="49"/>
    </row>
    <row r="341" spans="1:3" ht="17.25" customHeight="1" thickBot="1">
      <c r="A341" s="7">
        <v>26888.97</v>
      </c>
      <c r="B341" s="47">
        <f t="shared" si="9"/>
        <v>-82046.03</v>
      </c>
      <c r="C341" s="49"/>
    </row>
    <row r="342" spans="1:3" ht="17.25" customHeight="1" thickBot="1">
      <c r="A342" s="7">
        <v>42057.1</v>
      </c>
      <c r="B342" s="47">
        <f t="shared" si="9"/>
        <v>-39988.93</v>
      </c>
      <c r="C342" s="49">
        <v>-24.61</v>
      </c>
    </row>
    <row r="343" spans="1:3" ht="17.25" customHeight="1" thickBot="1">
      <c r="A343" s="7">
        <v>-27584.6</v>
      </c>
      <c r="B343" s="47">
        <f t="shared" si="9"/>
        <v>-67573.53</v>
      </c>
      <c r="C343" s="49"/>
    </row>
    <row r="344" spans="1:3" ht="17.25" customHeight="1" thickBot="1">
      <c r="A344" s="7">
        <v>-41377.19</v>
      </c>
      <c r="B344" s="47">
        <f t="shared" si="9"/>
        <v>-108950.72</v>
      </c>
      <c r="C344" s="49"/>
    </row>
    <row r="345" spans="1:3" ht="17.25" customHeight="1" thickBot="1">
      <c r="A345" s="7">
        <v>68999.06</v>
      </c>
      <c r="B345" s="47">
        <f t="shared" si="9"/>
        <v>-39951.660000000003</v>
      </c>
      <c r="C345" s="49">
        <v>37.270000000000003</v>
      </c>
    </row>
    <row r="346" spans="1:3" ht="17.25" customHeight="1" thickBot="1">
      <c r="A346" s="7">
        <v>-69074</v>
      </c>
      <c r="B346" s="47">
        <f t="shared" si="9"/>
        <v>-109025.66</v>
      </c>
      <c r="C346" s="49"/>
    </row>
    <row r="347" spans="1:3" ht="17.25" customHeight="1" thickBot="1">
      <c r="A347" s="9">
        <v>690.98</v>
      </c>
      <c r="B347" s="47">
        <f t="shared" si="9"/>
        <v>-108334.68000000001</v>
      </c>
      <c r="C347" s="49"/>
    </row>
    <row r="348" spans="1:3" ht="17.25" customHeight="1" thickBot="1">
      <c r="A348" s="7">
        <v>68406.5</v>
      </c>
      <c r="B348" s="47">
        <f t="shared" si="9"/>
        <v>-39928.180000000008</v>
      </c>
      <c r="C348" s="49">
        <v>23.48</v>
      </c>
    </row>
    <row r="349" spans="1:3" ht="17.25" customHeight="1" thickBot="1">
      <c r="A349" s="7">
        <v>-69128</v>
      </c>
      <c r="B349" s="47">
        <f t="shared" si="9"/>
        <v>-109056.18000000001</v>
      </c>
      <c r="C349" s="49"/>
    </row>
    <row r="350" spans="1:3" ht="17.25" customHeight="1" thickBot="1">
      <c r="A350" s="7">
        <v>69130.06</v>
      </c>
      <c r="B350" s="47">
        <f t="shared" si="9"/>
        <v>-39926.12000000001</v>
      </c>
      <c r="C350" s="49">
        <v>2.06</v>
      </c>
    </row>
    <row r="351" spans="1:3" ht="17.25" customHeight="1" thickBot="1">
      <c r="A351" s="7">
        <v>-69144.5</v>
      </c>
      <c r="B351" s="47">
        <f t="shared" si="9"/>
        <v>-109070.62000000001</v>
      </c>
      <c r="C351" s="49"/>
    </row>
    <row r="352" spans="1:3" ht="17.25" customHeight="1" thickBot="1">
      <c r="A352" s="7">
        <v>69153.570000000007</v>
      </c>
      <c r="B352" s="47">
        <f t="shared" si="9"/>
        <v>-39917.050000000003</v>
      </c>
      <c r="C352" s="49">
        <v>9.07</v>
      </c>
    </row>
    <row r="353" spans="1:3" ht="17.25" customHeight="1" thickBot="1">
      <c r="A353" s="7">
        <v>-69195</v>
      </c>
      <c r="B353" s="47">
        <f t="shared" si="9"/>
        <v>-109112.05</v>
      </c>
      <c r="C353" s="49"/>
    </row>
    <row r="354" spans="1:3" ht="17.25" customHeight="1" thickBot="1">
      <c r="A354" s="7">
        <v>69185.55</v>
      </c>
      <c r="B354" s="47">
        <f t="shared" si="9"/>
        <v>-39926.5</v>
      </c>
      <c r="C354" s="49">
        <v>-9.4499999999999993</v>
      </c>
    </row>
    <row r="355" spans="1:3" ht="17.25" customHeight="1" thickBot="1">
      <c r="A355" s="7">
        <v>-69252</v>
      </c>
      <c r="B355" s="47">
        <f t="shared" si="9"/>
        <v>-109178.5</v>
      </c>
      <c r="C355" s="49"/>
    </row>
    <row r="356" spans="1:3" ht="17.25" customHeight="1" thickBot="1">
      <c r="A356" s="7">
        <v>69252.55</v>
      </c>
      <c r="B356" s="47">
        <f t="shared" si="9"/>
        <v>-39925.949999999997</v>
      </c>
      <c r="C356" s="49">
        <v>0.55000000000000004</v>
      </c>
    </row>
    <row r="357" spans="1:3" ht="17.25" customHeight="1" thickBot="1">
      <c r="A357" s="10">
        <v>69347.05</v>
      </c>
      <c r="B357" s="55">
        <f t="shared" si="9"/>
        <v>29421.100000000006</v>
      </c>
      <c r="C357" s="49"/>
    </row>
    <row r="358" spans="1:3" ht="17.25" customHeight="1" thickBot="1">
      <c r="A358" s="10">
        <v>69357.05</v>
      </c>
      <c r="B358" s="55">
        <f t="shared" si="9"/>
        <v>98778.150000000009</v>
      </c>
      <c r="C358" s="49"/>
    </row>
    <row r="359" spans="1:3">
      <c r="A359" s="41"/>
      <c r="B359" s="50" t="s">
        <v>2</v>
      </c>
      <c r="C359" s="49">
        <f>SUM(C340:C356)</f>
        <v>38.370000000000005</v>
      </c>
    </row>
    <row r="360" spans="1:3">
      <c r="A360" s="41"/>
      <c r="B360" s="50" t="s">
        <v>3</v>
      </c>
      <c r="C360" s="49">
        <f>+B356-B339</f>
        <v>38.370000000002619</v>
      </c>
    </row>
    <row r="361" spans="1:3">
      <c r="A361" s="41"/>
      <c r="B361" s="47"/>
      <c r="C361" s="41"/>
    </row>
    <row r="362" spans="1:3">
      <c r="A362" s="41"/>
      <c r="B362" s="47"/>
      <c r="C362" s="41"/>
    </row>
    <row r="363" spans="1:3">
      <c r="A363" s="41" t="s">
        <v>27</v>
      </c>
      <c r="B363" s="50" t="s">
        <v>5</v>
      </c>
      <c r="C363" s="50">
        <f>SUMIF(A340:A356,"&lt;0")</f>
        <v>-483725.97</v>
      </c>
    </row>
    <row r="364" spans="1:3">
      <c r="A364" s="41" t="str">
        <f>"SPY " &amp; COUNT(C340:C358) * 100 &amp; "股"</f>
        <v>SPY 700股</v>
      </c>
      <c r="B364" s="50" t="s">
        <v>6</v>
      </c>
      <c r="C364" s="50">
        <f>SUMIF(A340:A356,"&gt;0")</f>
        <v>483764.34</v>
      </c>
    </row>
    <row r="365" spans="1:3" ht="17.25" customHeight="1" thickBot="1">
      <c r="A365" s="46"/>
      <c r="B365" s="50" t="s">
        <v>7</v>
      </c>
      <c r="C365" s="51">
        <f>+C363+C364</f>
        <v>38.370000000053551</v>
      </c>
    </row>
    <row r="366" spans="1:3" ht="17.25" customHeight="1" thickTop="1">
      <c r="A366" s="46"/>
      <c r="B366" s="50" t="s">
        <v>8</v>
      </c>
      <c r="C366" s="36">
        <f>C365/ABS(C363)</f>
        <v>7.9321769720268597E-5</v>
      </c>
    </row>
    <row r="367" spans="1:3">
      <c r="A367" s="46"/>
      <c r="B367" s="41"/>
      <c r="C367" s="54">
        <f>+A365+A366+A367</f>
        <v>0</v>
      </c>
    </row>
    <row r="368" spans="1:3">
      <c r="A368" s="41"/>
      <c r="B368" s="41"/>
      <c r="C368" s="41"/>
    </row>
    <row r="369" spans="1:3">
      <c r="A369" s="41" t="s">
        <v>11</v>
      </c>
      <c r="B369" s="41" t="s">
        <v>28</v>
      </c>
      <c r="C369" s="50">
        <v>-68407</v>
      </c>
    </row>
    <row r="370" spans="1:3">
      <c r="A370" s="41" t="s">
        <v>29</v>
      </c>
      <c r="B370" s="11" t="s">
        <v>30</v>
      </c>
      <c r="C370" s="49">
        <v>125.79</v>
      </c>
    </row>
    <row r="371" spans="1:3">
      <c r="A371" s="41" t="s">
        <v>31</v>
      </c>
      <c r="B371" s="41" t="s">
        <v>32</v>
      </c>
      <c r="C371" s="49">
        <f>A358</f>
        <v>69357.05</v>
      </c>
    </row>
    <row r="372" spans="1:3" ht="17.25" customHeight="1" thickBot="1">
      <c r="A372" s="41"/>
      <c r="B372" s="50" t="s">
        <v>33</v>
      </c>
      <c r="C372" s="51">
        <f>+C369+C371+C370</f>
        <v>1075.8400000000029</v>
      </c>
    </row>
    <row r="373" spans="1:3" ht="17.25" customHeight="1" thickTop="1">
      <c r="A373" s="41"/>
      <c r="B373" s="50" t="s">
        <v>34</v>
      </c>
      <c r="C373" s="36">
        <f>C372/ABS(C369)</f>
        <v>1.5727045477802022E-2</v>
      </c>
    </row>
    <row r="374" spans="1:3">
      <c r="A374" s="41"/>
      <c r="B374" s="41"/>
      <c r="C374" s="49"/>
    </row>
    <row r="375" spans="1:3">
      <c r="A375" s="41" t="s">
        <v>13</v>
      </c>
      <c r="B375" s="41" t="s">
        <v>28</v>
      </c>
      <c r="C375" s="50">
        <v>-68311.62</v>
      </c>
    </row>
    <row r="376" spans="1:3">
      <c r="A376" s="41" t="s">
        <v>29</v>
      </c>
      <c r="B376" s="11" t="s">
        <v>30</v>
      </c>
      <c r="C376" s="49">
        <v>125.79</v>
      </c>
    </row>
    <row r="377" spans="1:3">
      <c r="A377" s="41" t="s">
        <v>31</v>
      </c>
      <c r="B377" s="41" t="s">
        <v>32</v>
      </c>
      <c r="C377" s="49">
        <f>A357</f>
        <v>69347.05</v>
      </c>
    </row>
    <row r="378" spans="1:3" ht="17.25" customHeight="1" thickBot="1">
      <c r="A378" s="41"/>
      <c r="B378" s="50" t="s">
        <v>33</v>
      </c>
      <c r="C378" s="51">
        <f>+C375+C377+C376</f>
        <v>1161.2200000000075</v>
      </c>
    </row>
    <row r="379" spans="1:3" ht="17.25" customHeight="1" thickTop="1">
      <c r="A379" s="41"/>
      <c r="B379" s="50" t="s">
        <v>34</v>
      </c>
      <c r="C379" s="36">
        <f>C378/ABS(C375)</f>
        <v>1.6998864907610267E-2</v>
      </c>
    </row>
    <row r="380" spans="1:3">
      <c r="A380" s="5"/>
      <c r="B380" s="41"/>
      <c r="C380" s="41"/>
    </row>
    <row r="381" spans="1:3">
      <c r="A381" s="41" t="s">
        <v>35</v>
      </c>
      <c r="B381" s="41"/>
      <c r="C381" s="41"/>
    </row>
    <row r="382" spans="1:3">
      <c r="A382" s="5"/>
      <c r="B382" s="41"/>
      <c r="C382" s="41"/>
    </row>
    <row r="383" spans="1:3">
      <c r="A383" s="5"/>
      <c r="B383" s="41"/>
      <c r="C383" s="41"/>
    </row>
    <row r="384" spans="1:3" ht="30" customHeight="1">
      <c r="A384" s="46" t="s">
        <v>36</v>
      </c>
      <c r="B384" s="47">
        <v>-40046.97</v>
      </c>
      <c r="C384" s="48" t="s">
        <v>1</v>
      </c>
    </row>
    <row r="385" spans="1:3">
      <c r="A385" s="2">
        <v>-69514</v>
      </c>
      <c r="B385" s="47">
        <f t="shared" ref="B385:B401" si="10">+B384+A385</f>
        <v>-109560.97</v>
      </c>
      <c r="C385" s="49"/>
    </row>
    <row r="386" spans="1:3">
      <c r="A386" s="2">
        <v>69555.040000000008</v>
      </c>
      <c r="B386" s="47">
        <f t="shared" si="10"/>
        <v>-40005.929999999993</v>
      </c>
      <c r="C386" s="49">
        <v>41.04</v>
      </c>
    </row>
    <row r="387" spans="1:3">
      <c r="A387" s="2">
        <v>-69540.5</v>
      </c>
      <c r="B387" s="47">
        <f t="shared" si="10"/>
        <v>-109546.43</v>
      </c>
      <c r="C387" s="49"/>
    </row>
    <row r="388" spans="1:3">
      <c r="A388" s="2">
        <v>69538.05</v>
      </c>
      <c r="B388" s="47">
        <f t="shared" si="10"/>
        <v>-40008.37999999999</v>
      </c>
      <c r="C388" s="49">
        <v>-2.4500000000000002</v>
      </c>
    </row>
    <row r="389" spans="1:3">
      <c r="A389" s="2">
        <v>-69687.5</v>
      </c>
      <c r="B389" s="47">
        <f t="shared" si="10"/>
        <v>-109695.87999999999</v>
      </c>
      <c r="C389" s="49"/>
    </row>
    <row r="390" spans="1:3">
      <c r="A390" s="2">
        <v>69684.549999999988</v>
      </c>
      <c r="B390" s="47">
        <f t="shared" si="10"/>
        <v>-40011.33</v>
      </c>
      <c r="C390" s="49">
        <v>-2.95</v>
      </c>
    </row>
    <row r="391" spans="1:3">
      <c r="A391" s="2">
        <v>-69691.990000000005</v>
      </c>
      <c r="B391" s="47">
        <f t="shared" si="10"/>
        <v>-109703.32</v>
      </c>
      <c r="C391" s="49"/>
    </row>
    <row r="392" spans="1:3">
      <c r="A392" s="2">
        <v>27876.74</v>
      </c>
      <c r="B392" s="47">
        <f t="shared" si="10"/>
        <v>-81826.58</v>
      </c>
      <c r="C392" s="49"/>
    </row>
    <row r="393" spans="1:3">
      <c r="A393" s="2">
        <v>41815.100000000013</v>
      </c>
      <c r="B393" s="47">
        <f t="shared" si="10"/>
        <v>-40011.479999999989</v>
      </c>
      <c r="C393" s="49">
        <v>-0.15</v>
      </c>
    </row>
    <row r="394" spans="1:3">
      <c r="A394" s="2">
        <v>-69730</v>
      </c>
      <c r="B394" s="47">
        <f t="shared" si="10"/>
        <v>-109741.47999999998</v>
      </c>
      <c r="C394" s="49"/>
    </row>
    <row r="395" spans="1:3">
      <c r="A395" s="2">
        <v>69734.539999999994</v>
      </c>
      <c r="B395" s="47">
        <f t="shared" si="10"/>
        <v>-40006.939999999988</v>
      </c>
      <c r="C395" s="49">
        <v>4.54</v>
      </c>
    </row>
    <row r="396" spans="1:3">
      <c r="A396" s="2">
        <v>-69715.990000000005</v>
      </c>
      <c r="B396" s="47">
        <f t="shared" si="10"/>
        <v>-109722.93</v>
      </c>
      <c r="C396" s="49"/>
    </row>
    <row r="397" spans="1:3">
      <c r="A397" s="2">
        <v>27895.62</v>
      </c>
      <c r="B397" s="47">
        <f t="shared" si="10"/>
        <v>-81827.31</v>
      </c>
      <c r="C397" s="49"/>
    </row>
    <row r="398" spans="1:3">
      <c r="A398" s="2">
        <v>27895.61</v>
      </c>
      <c r="B398" s="47">
        <f t="shared" si="10"/>
        <v>-53931.7</v>
      </c>
      <c r="C398" s="49"/>
    </row>
    <row r="399" spans="1:3">
      <c r="A399" s="2">
        <v>13947.71</v>
      </c>
      <c r="B399" s="47">
        <f t="shared" si="10"/>
        <v>-39983.99</v>
      </c>
      <c r="C399" s="49">
        <v>22.95</v>
      </c>
    </row>
    <row r="400" spans="1:3">
      <c r="A400" s="2">
        <v>-69665.36</v>
      </c>
      <c r="B400" s="47">
        <f t="shared" si="10"/>
        <v>-109649.35</v>
      </c>
      <c r="C400" s="49"/>
    </row>
    <row r="401" spans="1:3">
      <c r="A401" s="2">
        <v>69715.039999999994</v>
      </c>
      <c r="B401" s="47">
        <f t="shared" si="10"/>
        <v>-39934.310000000012</v>
      </c>
      <c r="C401" s="49">
        <v>49.68</v>
      </c>
    </row>
    <row r="402" spans="1:3">
      <c r="A402" s="2"/>
      <c r="B402" s="50" t="s">
        <v>2</v>
      </c>
      <c r="C402" s="49">
        <f>SUM(C385:C401)</f>
        <v>112.66</v>
      </c>
    </row>
    <row r="403" spans="1:3">
      <c r="A403" s="2"/>
      <c r="B403" s="50" t="s">
        <v>3</v>
      </c>
      <c r="C403" s="49">
        <f>+B401-B384</f>
        <v>112.65999999998894</v>
      </c>
    </row>
    <row r="404" spans="1:3">
      <c r="A404" s="5"/>
      <c r="B404" s="47"/>
      <c r="C404" s="41"/>
    </row>
    <row r="405" spans="1:3">
      <c r="A405" s="41" t="s">
        <v>37</v>
      </c>
      <c r="B405" s="50" t="s">
        <v>5</v>
      </c>
      <c r="C405" s="50">
        <f>SUMIF(A385:A401,"&lt;0")</f>
        <v>-487545.33999999997</v>
      </c>
    </row>
    <row r="406" spans="1:3">
      <c r="A406" s="41" t="str">
        <f>"SPY " &amp; COUNT(C385:C401) * 100 &amp; "股"</f>
        <v>SPY 700股</v>
      </c>
      <c r="B406" s="50" t="s">
        <v>6</v>
      </c>
      <c r="C406" s="50">
        <f>SUMIF(A385:A401,"&gt;0")</f>
        <v>487658</v>
      </c>
    </row>
    <row r="407" spans="1:3" ht="17.25" customHeight="1" thickBot="1">
      <c r="A407" s="46"/>
      <c r="B407" s="50" t="s">
        <v>7</v>
      </c>
      <c r="C407" s="51">
        <f>+C405+C406</f>
        <v>112.6600000000326</v>
      </c>
    </row>
    <row r="408" spans="1:3" ht="17.25" customHeight="1" thickTop="1">
      <c r="A408" s="46"/>
      <c r="B408" s="50" t="s">
        <v>8</v>
      </c>
      <c r="C408" s="36">
        <f>C407/ABS(C405)</f>
        <v>2.3107594464964553E-4</v>
      </c>
    </row>
    <row r="409" spans="1:3">
      <c r="A409" s="5"/>
      <c r="B409" s="47"/>
      <c r="C409" s="41"/>
    </row>
    <row r="410" spans="1:3">
      <c r="A410" s="41"/>
      <c r="B410" s="47"/>
      <c r="C410" s="41"/>
    </row>
    <row r="411" spans="1:3">
      <c r="A411" s="5"/>
      <c r="B411" s="47"/>
      <c r="C411" s="41"/>
    </row>
    <row r="412" spans="1:3">
      <c r="A412" s="5"/>
      <c r="B412" s="47"/>
      <c r="C412" s="41"/>
    </row>
    <row r="413" spans="1:3" ht="30" customHeight="1">
      <c r="A413" s="46" t="s">
        <v>38</v>
      </c>
      <c r="B413" s="47">
        <v>98695.5</v>
      </c>
      <c r="C413" s="48" t="s">
        <v>1</v>
      </c>
    </row>
    <row r="414" spans="1:3">
      <c r="A414" s="2">
        <v>70092.539999999994</v>
      </c>
      <c r="B414" s="47">
        <f t="shared" ref="B414:B446" si="11">+B413+A414</f>
        <v>168788.03999999998</v>
      </c>
      <c r="C414" s="49"/>
    </row>
    <row r="415" spans="1:3">
      <c r="A415" s="2">
        <v>-70089</v>
      </c>
      <c r="B415" s="47">
        <f t="shared" si="11"/>
        <v>98699.039999999979</v>
      </c>
      <c r="C415" s="49">
        <v>3.54</v>
      </c>
    </row>
    <row r="416" spans="1:3">
      <c r="A416" s="2">
        <v>70020.539999999994</v>
      </c>
      <c r="B416" s="47">
        <f t="shared" si="11"/>
        <v>168719.57999999996</v>
      </c>
      <c r="C416" s="49"/>
    </row>
    <row r="417" spans="1:3">
      <c r="A417" s="2">
        <v>-70053.990000000005</v>
      </c>
      <c r="B417" s="47">
        <f t="shared" si="11"/>
        <v>98665.589999999953</v>
      </c>
      <c r="C417" s="49">
        <v>-33.450000000000003</v>
      </c>
    </row>
    <row r="418" spans="1:3">
      <c r="A418" s="2">
        <v>70040.26999999999</v>
      </c>
      <c r="B418" s="47">
        <f t="shared" si="11"/>
        <v>168705.85999999993</v>
      </c>
      <c r="C418" s="49"/>
    </row>
    <row r="419" spans="1:3">
      <c r="A419" s="2">
        <v>-70003.5</v>
      </c>
      <c r="B419" s="47">
        <f t="shared" si="11"/>
        <v>98702.359999999928</v>
      </c>
      <c r="C419" s="49">
        <v>36.770000000000003</v>
      </c>
    </row>
    <row r="420" spans="1:3">
      <c r="A420" s="2">
        <v>-69981.350000000006</v>
      </c>
      <c r="B420" s="47">
        <f t="shared" si="11"/>
        <v>28721.009999999922</v>
      </c>
      <c r="C420" s="49"/>
    </row>
    <row r="421" spans="1:3">
      <c r="A421" s="2">
        <v>69970.539999999994</v>
      </c>
      <c r="B421" s="47">
        <f t="shared" si="11"/>
        <v>98691.549999999916</v>
      </c>
      <c r="C421" s="49">
        <v>-10.81</v>
      </c>
    </row>
    <row r="422" spans="1:3">
      <c r="A422" s="2">
        <v>-69981</v>
      </c>
      <c r="B422" s="47">
        <f t="shared" si="11"/>
        <v>28710.549999999916</v>
      </c>
      <c r="C422" s="49"/>
    </row>
    <row r="423" spans="1:3">
      <c r="A423" s="2">
        <v>69976.049999999988</v>
      </c>
      <c r="B423" s="47">
        <f t="shared" si="11"/>
        <v>98686.599999999904</v>
      </c>
      <c r="C423" s="49">
        <v>-4.95</v>
      </c>
    </row>
    <row r="424" spans="1:3">
      <c r="A424" s="2">
        <v>-69912.990000000005</v>
      </c>
      <c r="B424" s="47">
        <f t="shared" si="11"/>
        <v>28773.609999999899</v>
      </c>
      <c r="C424" s="49"/>
    </row>
    <row r="425" spans="1:3">
      <c r="A425" s="2">
        <v>69902.12</v>
      </c>
      <c r="B425" s="47">
        <f t="shared" si="11"/>
        <v>98675.729999999894</v>
      </c>
      <c r="C425" s="49">
        <v>-10.87</v>
      </c>
    </row>
    <row r="426" spans="1:3">
      <c r="A426" s="2">
        <v>-69928</v>
      </c>
      <c r="B426" s="47">
        <f t="shared" si="11"/>
        <v>28747.729999999894</v>
      </c>
      <c r="C426" s="49"/>
    </row>
    <row r="427" spans="1:3">
      <c r="A427" s="2">
        <v>69907.539999999994</v>
      </c>
      <c r="B427" s="47">
        <f t="shared" si="11"/>
        <v>98655.269999999888</v>
      </c>
      <c r="C427" s="49">
        <v>-20.46</v>
      </c>
    </row>
    <row r="428" spans="1:3">
      <c r="A428" s="2">
        <v>-69989</v>
      </c>
      <c r="B428" s="47">
        <f t="shared" si="11"/>
        <v>28666.269999999888</v>
      </c>
      <c r="C428" s="49"/>
    </row>
    <row r="429" spans="1:3">
      <c r="A429" s="2">
        <v>69996.849999999991</v>
      </c>
      <c r="B429" s="47">
        <f t="shared" si="11"/>
        <v>98663.119999999879</v>
      </c>
      <c r="C429" s="49">
        <v>7.85</v>
      </c>
    </row>
    <row r="430" spans="1:3">
      <c r="A430" s="2">
        <v>-70018.67</v>
      </c>
      <c r="B430" s="47">
        <f t="shared" si="11"/>
        <v>28644.449999999881</v>
      </c>
      <c r="C430" s="49"/>
    </row>
    <row r="431" spans="1:3">
      <c r="A431" s="2">
        <v>70025.829999999987</v>
      </c>
      <c r="B431" s="47">
        <f t="shared" si="11"/>
        <v>98670.279999999868</v>
      </c>
      <c r="C431" s="49">
        <v>7.16</v>
      </c>
    </row>
    <row r="432" spans="1:3">
      <c r="A432" s="2">
        <v>-70048.5</v>
      </c>
      <c r="B432" s="47">
        <f t="shared" si="11"/>
        <v>28621.779999999868</v>
      </c>
      <c r="C432" s="49"/>
    </row>
    <row r="433" spans="1:3">
      <c r="A433" s="2">
        <v>56044.83</v>
      </c>
      <c r="B433" s="47">
        <f t="shared" si="11"/>
        <v>84666.60999999987</v>
      </c>
      <c r="C433" s="49"/>
    </row>
    <row r="434" spans="1:3">
      <c r="A434" s="2">
        <v>14011.21</v>
      </c>
      <c r="B434" s="47">
        <f t="shared" si="11"/>
        <v>98677.819999999861</v>
      </c>
      <c r="C434" s="49">
        <v>7.54</v>
      </c>
    </row>
    <row r="435" spans="1:3">
      <c r="A435" s="2">
        <v>-70064</v>
      </c>
      <c r="B435" s="47">
        <f t="shared" si="11"/>
        <v>28613.819999999861</v>
      </c>
      <c r="C435" s="49"/>
    </row>
    <row r="436" spans="1:3">
      <c r="A436" s="2">
        <v>70062.959999999992</v>
      </c>
      <c r="B436" s="47">
        <f t="shared" si="11"/>
        <v>98676.779999999853</v>
      </c>
      <c r="C436" s="49">
        <v>-1.04</v>
      </c>
    </row>
    <row r="437" spans="1:3">
      <c r="A437" s="2">
        <v>-70194</v>
      </c>
      <c r="B437" s="47">
        <f t="shared" si="11"/>
        <v>28482.779999999853</v>
      </c>
      <c r="C437" s="49"/>
    </row>
    <row r="438" spans="1:3">
      <c r="A438" s="2">
        <v>70228.56</v>
      </c>
      <c r="B438" s="47">
        <f t="shared" si="11"/>
        <v>98711.339999999851</v>
      </c>
      <c r="C438" s="49">
        <v>34.56</v>
      </c>
    </row>
    <row r="439" spans="1:3">
      <c r="A439" s="2">
        <v>-70095</v>
      </c>
      <c r="B439" s="47">
        <f t="shared" si="11"/>
        <v>28616.339999999851</v>
      </c>
      <c r="C439" s="49"/>
    </row>
    <row r="440" spans="1:3">
      <c r="A440" s="2">
        <v>56076.42</v>
      </c>
      <c r="B440" s="47">
        <f t="shared" si="11"/>
        <v>84692.759999999849</v>
      </c>
      <c r="C440" s="49"/>
    </row>
    <row r="441" spans="1:3">
      <c r="A441" s="2">
        <v>14019.12</v>
      </c>
      <c r="B441" s="47">
        <f t="shared" si="11"/>
        <v>98711.879999999845</v>
      </c>
      <c r="C441" s="49">
        <v>0.54</v>
      </c>
    </row>
    <row r="442" spans="1:3">
      <c r="A442" s="2">
        <v>-70118.61</v>
      </c>
      <c r="B442" s="47">
        <f t="shared" si="11"/>
        <v>28593.269999999844</v>
      </c>
      <c r="C442" s="49"/>
    </row>
    <row r="443" spans="1:3">
      <c r="A443" s="2">
        <v>70125.549999999988</v>
      </c>
      <c r="B443" s="47">
        <f t="shared" si="11"/>
        <v>98718.819999999832</v>
      </c>
      <c r="C443" s="49">
        <v>6.94</v>
      </c>
    </row>
    <row r="444" spans="1:3">
      <c r="A444" s="2">
        <v>-70122</v>
      </c>
      <c r="B444" s="47">
        <f t="shared" si="11"/>
        <v>28596.819999999832</v>
      </c>
      <c r="C444" s="49"/>
    </row>
    <row r="445" spans="1:3">
      <c r="A445" s="2">
        <v>28049.81</v>
      </c>
      <c r="B445" s="47">
        <f t="shared" si="11"/>
        <v>56646.62999999983</v>
      </c>
      <c r="C445" s="49"/>
    </row>
    <row r="446" spans="1:3">
      <c r="A446" s="2">
        <v>42074.74</v>
      </c>
      <c r="B446" s="47">
        <f t="shared" si="11"/>
        <v>98721.369999999821</v>
      </c>
      <c r="C446" s="49">
        <v>2.5499999999999998</v>
      </c>
    </row>
    <row r="447" spans="1:3">
      <c r="A447" s="2"/>
      <c r="B447" s="50" t="s">
        <v>2</v>
      </c>
      <c r="C447" s="49">
        <f>SUM(C414:C446)</f>
        <v>25.87</v>
      </c>
    </row>
    <row r="448" spans="1:3">
      <c r="A448" s="2"/>
      <c r="B448" s="50" t="s">
        <v>3</v>
      </c>
      <c r="C448" s="49">
        <f>+B446-B413</f>
        <v>25.86999999982072</v>
      </c>
    </row>
    <row r="449" spans="1:3">
      <c r="A449" s="5"/>
      <c r="B449" s="47"/>
      <c r="C449" s="41"/>
    </row>
    <row r="450" spans="1:3">
      <c r="A450" s="41" t="s">
        <v>39</v>
      </c>
      <c r="B450" s="50" t="s">
        <v>5</v>
      </c>
      <c r="C450" s="50">
        <f>SUMIF(A414:A446,"&lt;0")</f>
        <v>-1050599.6099999999</v>
      </c>
    </row>
    <row r="451" spans="1:3">
      <c r="A451" s="41" t="str">
        <f>"SPY " &amp; COUNT(C414:C446) * 100 &amp; "股"</f>
        <v>SPY 1500股</v>
      </c>
      <c r="B451" s="50" t="s">
        <v>6</v>
      </c>
      <c r="C451" s="50">
        <f>SUMIF(A414:A446,"&gt;0")</f>
        <v>1050625.48</v>
      </c>
    </row>
    <row r="452" spans="1:3" ht="17.25" customHeight="1" thickBot="1">
      <c r="A452" s="46"/>
      <c r="B452" s="50" t="s">
        <v>7</v>
      </c>
      <c r="C452" s="51">
        <f>+C450+C451</f>
        <v>25.870000000111759</v>
      </c>
    </row>
    <row r="453" spans="1:3" ht="17.25" customHeight="1" thickTop="1">
      <c r="A453" s="46"/>
      <c r="B453" s="50" t="s">
        <v>8</v>
      </c>
      <c r="C453" s="36">
        <f>C452/ABS(C450)</f>
        <v>2.4624033507980993E-5</v>
      </c>
    </row>
    <row r="454" spans="1:3">
      <c r="A454" s="5"/>
      <c r="B454" s="41"/>
      <c r="C454" s="41"/>
    </row>
    <row r="455" spans="1:3">
      <c r="A455" s="5"/>
      <c r="B455" s="41"/>
      <c r="C455" s="41"/>
    </row>
    <row r="456" spans="1:3">
      <c r="A456" s="5"/>
      <c r="B456" s="41"/>
      <c r="C456" s="41"/>
    </row>
    <row r="457" spans="1:3">
      <c r="A457" s="5"/>
      <c r="B457" s="41"/>
      <c r="C457" s="41"/>
    </row>
    <row r="458" spans="1:3" ht="30" customHeight="1">
      <c r="A458" s="46" t="s">
        <v>40</v>
      </c>
      <c r="B458" s="47">
        <v>98808.16</v>
      </c>
      <c r="C458" s="48" t="s">
        <v>1</v>
      </c>
    </row>
    <row r="459" spans="1:3">
      <c r="A459" s="2">
        <v>-70747.5</v>
      </c>
      <c r="B459" s="47">
        <f t="shared" ref="B459:B469" si="12">+B458+A459</f>
        <v>28060.660000000003</v>
      </c>
      <c r="C459" s="49"/>
    </row>
    <row r="460" spans="1:3">
      <c r="A460" s="2">
        <v>70771.8</v>
      </c>
      <c r="B460" s="47">
        <f t="shared" si="12"/>
        <v>98832.46</v>
      </c>
      <c r="C460" s="49">
        <v>24.3</v>
      </c>
    </row>
    <row r="461" spans="1:3">
      <c r="A461" s="2">
        <v>-20056.990000000002</v>
      </c>
      <c r="B461" s="47">
        <f t="shared" si="12"/>
        <v>78775.47</v>
      </c>
      <c r="C461" s="49"/>
    </row>
    <row r="462" spans="1:3">
      <c r="A462" s="2">
        <v>20060.07</v>
      </c>
      <c r="B462" s="47">
        <f t="shared" si="12"/>
        <v>98835.540000000008</v>
      </c>
      <c r="C462" s="49">
        <v>3.08</v>
      </c>
    </row>
    <row r="463" spans="1:3">
      <c r="A463" s="2">
        <v>-71086</v>
      </c>
      <c r="B463" s="47">
        <f t="shared" si="12"/>
        <v>27749.540000000008</v>
      </c>
      <c r="C463" s="49"/>
    </row>
    <row r="464" spans="1:3">
      <c r="A464" s="2">
        <v>71108.02</v>
      </c>
      <c r="B464" s="47">
        <f t="shared" si="12"/>
        <v>98857.560000000012</v>
      </c>
      <c r="C464" s="49">
        <v>22.02</v>
      </c>
    </row>
    <row r="465" spans="1:3">
      <c r="A465" s="1">
        <v>-71111.5</v>
      </c>
      <c r="B465" s="47">
        <f t="shared" si="12"/>
        <v>27746.060000000012</v>
      </c>
      <c r="C465" s="49"/>
    </row>
    <row r="466" spans="1:3">
      <c r="A466" s="2">
        <v>-71059</v>
      </c>
      <c r="B466" s="47">
        <f t="shared" si="12"/>
        <v>-43312.939999999988</v>
      </c>
      <c r="C466" s="49"/>
    </row>
    <row r="467" spans="1:3">
      <c r="A467" s="2">
        <v>35536.51</v>
      </c>
      <c r="B467" s="47">
        <f t="shared" si="12"/>
        <v>-7776.4299999999857</v>
      </c>
      <c r="C467" s="49"/>
    </row>
    <row r="468" spans="1:3">
      <c r="A468" s="2">
        <v>35536.51</v>
      </c>
      <c r="B468" s="47">
        <f t="shared" si="12"/>
        <v>27760.080000000016</v>
      </c>
      <c r="C468" s="49">
        <v>14.02</v>
      </c>
    </row>
    <row r="469" spans="1:3">
      <c r="A469" s="1">
        <v>71201.51999999999</v>
      </c>
      <c r="B469" s="47">
        <f t="shared" si="12"/>
        <v>98961.600000000006</v>
      </c>
      <c r="C469" s="49">
        <v>90.02</v>
      </c>
    </row>
    <row r="470" spans="1:3">
      <c r="A470" s="2"/>
      <c r="B470" s="50" t="s">
        <v>2</v>
      </c>
      <c r="C470" s="49">
        <f>SUM(C459:C469)</f>
        <v>153.44</v>
      </c>
    </row>
    <row r="471" spans="1:3">
      <c r="A471" s="2"/>
      <c r="B471" s="50" t="s">
        <v>3</v>
      </c>
      <c r="C471" s="49">
        <f>+B469-B458</f>
        <v>153.44000000000233</v>
      </c>
    </row>
    <row r="472" spans="1:3">
      <c r="A472" s="5"/>
      <c r="B472" s="47"/>
      <c r="C472" s="41"/>
    </row>
    <row r="473" spans="1:3">
      <c r="A473" s="41" t="s">
        <v>41</v>
      </c>
      <c r="B473" s="50" t="s">
        <v>5</v>
      </c>
      <c r="C473" s="50">
        <f>SUMIF(A459:A469,"&lt;0")-C478</f>
        <v>-284004</v>
      </c>
    </row>
    <row r="474" spans="1:3">
      <c r="A474" s="41" t="str">
        <f>"SPY " &amp; (COUNT(C459:C469)-1) * 100 &amp; "股"</f>
        <v>SPY 400股</v>
      </c>
      <c r="B474" s="50" t="s">
        <v>6</v>
      </c>
      <c r="C474" s="50">
        <f>SUMIF(A459:A469,"&gt;0")-C479</f>
        <v>284154.36000000004</v>
      </c>
    </row>
    <row r="475" spans="1:3" ht="17.25" customHeight="1" thickBot="1">
      <c r="A475" s="46"/>
      <c r="B475" s="50" t="s">
        <v>7</v>
      </c>
      <c r="C475" s="51">
        <f>+C473+C474</f>
        <v>150.36000000004424</v>
      </c>
    </row>
    <row r="476" spans="1:3" ht="17.25" customHeight="1" thickTop="1">
      <c r="A476" s="46"/>
      <c r="B476" s="50" t="s">
        <v>8</v>
      </c>
      <c r="C476" s="36">
        <f>C475/ABS(C473)</f>
        <v>5.2942916296969144E-4</v>
      </c>
    </row>
    <row r="477" spans="1:3">
      <c r="A477" s="5"/>
      <c r="B477" s="47"/>
      <c r="C477" s="41"/>
    </row>
    <row r="478" spans="1:3">
      <c r="A478" s="41" t="s">
        <v>42</v>
      </c>
      <c r="B478" s="50" t="s">
        <v>5</v>
      </c>
      <c r="C478" s="50">
        <f>SUMIF(A460:A461,"&lt;0")</f>
        <v>-20056.990000000002</v>
      </c>
    </row>
    <row r="479" spans="1:3">
      <c r="A479" s="41" t="str">
        <f>"NVDA "&amp;COUNT(C461:C462)*100&amp;"股"</f>
        <v>NVDA 100股</v>
      </c>
      <c r="B479" s="50" t="s">
        <v>6</v>
      </c>
      <c r="C479" s="50">
        <f>SUMIF(A461:A462,"&gt;0")</f>
        <v>20060.07</v>
      </c>
    </row>
    <row r="480" spans="1:3" ht="17.25" customHeight="1" thickBot="1">
      <c r="A480" s="46"/>
      <c r="B480" s="50" t="s">
        <v>7</v>
      </c>
      <c r="C480" s="51">
        <f>+C478+C479</f>
        <v>3.0799999999981083</v>
      </c>
    </row>
    <row r="481" spans="1:3" ht="17.25" customHeight="1" thickTop="1">
      <c r="A481" s="46"/>
      <c r="B481" s="50" t="s">
        <v>8</v>
      </c>
      <c r="C481" s="36">
        <f>C480/ABS(C478)</f>
        <v>1.5356242387307907E-4</v>
      </c>
    </row>
    <row r="482" spans="1:3">
      <c r="A482" s="5"/>
      <c r="B482" s="41"/>
      <c r="C482" s="41"/>
    </row>
    <row r="483" spans="1:3">
      <c r="A483" s="5"/>
      <c r="B483" s="41"/>
      <c r="C483" s="41"/>
    </row>
    <row r="484" spans="1:3">
      <c r="A484" s="5"/>
      <c r="B484" s="41"/>
      <c r="C484" s="41"/>
    </row>
    <row r="485" spans="1:3">
      <c r="A485" s="5"/>
      <c r="B485" s="41"/>
      <c r="C485" s="41"/>
    </row>
    <row r="486" spans="1:3" ht="30" customHeight="1">
      <c r="A486" s="46" t="s">
        <v>43</v>
      </c>
      <c r="B486" s="41"/>
      <c r="C486" s="41"/>
    </row>
    <row r="487" spans="1:3">
      <c r="A487" s="12" t="s">
        <v>44</v>
      </c>
      <c r="B487" s="41"/>
      <c r="C487" s="41"/>
    </row>
    <row r="488" spans="1:3">
      <c r="A488" s="5"/>
      <c r="B488" s="41"/>
      <c r="C488" s="41"/>
    </row>
    <row r="489" spans="1:3">
      <c r="A489" s="5"/>
      <c r="B489" s="41"/>
      <c r="C489" s="41"/>
    </row>
    <row r="490" spans="1:3" ht="30" customHeight="1">
      <c r="A490" s="46" t="s">
        <v>45</v>
      </c>
      <c r="B490" s="47">
        <v>98987.47</v>
      </c>
      <c r="C490" s="48" t="s">
        <v>1</v>
      </c>
    </row>
    <row r="491" spans="1:3">
      <c r="A491" s="1">
        <v>-71060</v>
      </c>
      <c r="B491" s="47">
        <f t="shared" ref="B491:B504" si="13">+B490+A491</f>
        <v>27927.47</v>
      </c>
      <c r="C491" s="49"/>
    </row>
    <row r="492" spans="1:3">
      <c r="A492" s="2">
        <v>-71036</v>
      </c>
      <c r="B492" s="47">
        <f t="shared" si="13"/>
        <v>-43108.53</v>
      </c>
      <c r="C492" s="49"/>
    </row>
    <row r="493" spans="1:3">
      <c r="A493" s="2">
        <v>71039.98000000001</v>
      </c>
      <c r="B493" s="47">
        <f t="shared" si="13"/>
        <v>27931.450000000012</v>
      </c>
      <c r="C493" s="49">
        <v>3.98</v>
      </c>
    </row>
    <row r="494" spans="1:3">
      <c r="A494" s="1">
        <v>71052.02</v>
      </c>
      <c r="B494" s="47">
        <f t="shared" si="13"/>
        <v>98983.470000000016</v>
      </c>
      <c r="C494" s="49">
        <v>-7.98</v>
      </c>
    </row>
    <row r="495" spans="1:3">
      <c r="A495" s="2">
        <v>-24056.16</v>
      </c>
      <c r="B495" s="47">
        <f t="shared" si="13"/>
        <v>74927.310000000012</v>
      </c>
      <c r="C495" s="49"/>
    </row>
    <row r="496" spans="1:3">
      <c r="A496" s="2">
        <v>-46697.26</v>
      </c>
      <c r="B496" s="47">
        <f t="shared" si="13"/>
        <v>28230.05000000001</v>
      </c>
      <c r="C496" s="49"/>
    </row>
    <row r="497" spans="1:3">
      <c r="A497" s="2">
        <v>70698.02</v>
      </c>
      <c r="B497" s="47">
        <f t="shared" si="13"/>
        <v>98928.07</v>
      </c>
      <c r="C497" s="49">
        <v>-55.4</v>
      </c>
    </row>
    <row r="498" spans="1:3">
      <c r="A498" s="2">
        <v>-70705</v>
      </c>
      <c r="B498" s="47">
        <f t="shared" si="13"/>
        <v>28223.070000000007</v>
      </c>
      <c r="C498" s="49"/>
    </row>
    <row r="499" spans="1:3">
      <c r="A499" s="2">
        <v>70734.02</v>
      </c>
      <c r="B499" s="47">
        <f t="shared" si="13"/>
        <v>98957.090000000011</v>
      </c>
      <c r="C499" s="49">
        <v>29.02</v>
      </c>
    </row>
    <row r="500" spans="1:3">
      <c r="A500" s="2">
        <v>-70560</v>
      </c>
      <c r="B500" s="47">
        <f t="shared" si="13"/>
        <v>28397.090000000011</v>
      </c>
      <c r="C500" s="49"/>
    </row>
    <row r="501" spans="1:3">
      <c r="A501" s="2">
        <v>70572.53</v>
      </c>
      <c r="B501" s="47">
        <f t="shared" si="13"/>
        <v>98969.62000000001</v>
      </c>
      <c r="C501" s="49">
        <v>12.53</v>
      </c>
    </row>
    <row r="502" spans="1:3">
      <c r="A502" s="2">
        <v>-70605.72</v>
      </c>
      <c r="B502" s="47">
        <f t="shared" si="13"/>
        <v>28363.900000000009</v>
      </c>
      <c r="C502" s="49"/>
    </row>
    <row r="503" spans="1:3">
      <c r="A503" s="2">
        <v>28268.21</v>
      </c>
      <c r="B503" s="47">
        <f t="shared" si="13"/>
        <v>56632.110000000008</v>
      </c>
      <c r="C503" s="49"/>
    </row>
    <row r="504" spans="1:3">
      <c r="A504" s="2">
        <v>42402.31</v>
      </c>
      <c r="B504" s="47">
        <f t="shared" si="13"/>
        <v>99034.420000000013</v>
      </c>
      <c r="C504" s="49">
        <v>64.8</v>
      </c>
    </row>
    <row r="505" spans="1:3">
      <c r="A505" s="2"/>
      <c r="B505" s="50" t="s">
        <v>2</v>
      </c>
      <c r="C505" s="49">
        <f>SUM(C491:C504)</f>
        <v>46.949999999999996</v>
      </c>
    </row>
    <row r="506" spans="1:3">
      <c r="A506" s="2"/>
      <c r="B506" s="50" t="s">
        <v>3</v>
      </c>
      <c r="C506" s="49">
        <f>+B504-B490</f>
        <v>46.950000000011642</v>
      </c>
    </row>
    <row r="507" spans="1:3">
      <c r="A507" s="5"/>
      <c r="B507" s="47"/>
      <c r="C507" s="41"/>
    </row>
    <row r="508" spans="1:3">
      <c r="A508" s="41" t="s">
        <v>46</v>
      </c>
      <c r="B508" s="50" t="s">
        <v>5</v>
      </c>
      <c r="C508" s="50">
        <f>SUMIF(A491:A504,"&lt;0")</f>
        <v>-424720.14</v>
      </c>
    </row>
    <row r="509" spans="1:3">
      <c r="A509" s="41" t="str">
        <f>"SPY " &amp; COUNT(C491:C504) * 100 &amp; "股"</f>
        <v>SPY 600股</v>
      </c>
      <c r="B509" s="50" t="s">
        <v>6</v>
      </c>
      <c r="C509" s="50">
        <f>SUMIF(A491:A504,"&gt;0")</f>
        <v>424767.09000000008</v>
      </c>
    </row>
    <row r="510" spans="1:3" ht="17.25" customHeight="1" thickBot="1">
      <c r="A510" s="46"/>
      <c r="B510" s="50" t="s">
        <v>7</v>
      </c>
      <c r="C510" s="51">
        <f>+C508+C509</f>
        <v>46.950000000069849</v>
      </c>
    </row>
    <row r="511" spans="1:3" ht="17.25" customHeight="1" thickTop="1">
      <c r="A511" s="46"/>
      <c r="B511" s="50" t="s">
        <v>8</v>
      </c>
      <c r="C511" s="36">
        <f>C510/ABS(C508)</f>
        <v>1.1054338040119747E-4</v>
      </c>
    </row>
    <row r="512" spans="1:3">
      <c r="A512" s="5"/>
      <c r="B512" s="47"/>
      <c r="C512" s="41"/>
    </row>
    <row r="513" spans="1:3">
      <c r="A513" s="5"/>
      <c r="B513" s="41"/>
      <c r="C513" s="41"/>
    </row>
    <row r="514" spans="1:3">
      <c r="A514" s="5"/>
      <c r="B514" s="41"/>
      <c r="C514" s="41"/>
    </row>
    <row r="515" spans="1:3" ht="30" customHeight="1">
      <c r="A515" s="46" t="s">
        <v>47</v>
      </c>
      <c r="B515" s="47">
        <v>98987.47</v>
      </c>
      <c r="C515" s="48" t="s">
        <v>1</v>
      </c>
    </row>
    <row r="516" spans="1:3">
      <c r="A516" s="2">
        <v>-21272.19</v>
      </c>
      <c r="B516" s="47">
        <f>+B515+A516</f>
        <v>77715.28</v>
      </c>
      <c r="C516" s="13"/>
    </row>
    <row r="517" spans="1:3">
      <c r="A517" s="2">
        <v>-49635.11</v>
      </c>
      <c r="B517" s="47">
        <f>+B516+A517</f>
        <v>28080.17</v>
      </c>
      <c r="C517" s="13"/>
    </row>
    <row r="518" spans="1:3">
      <c r="A518" s="2">
        <v>70965.52</v>
      </c>
      <c r="B518" s="47">
        <f>+B517+A518</f>
        <v>99045.69</v>
      </c>
      <c r="C518" s="14">
        <v>58.22</v>
      </c>
    </row>
    <row r="519" spans="1:3">
      <c r="A519" s="2"/>
      <c r="B519" s="50" t="s">
        <v>2</v>
      </c>
      <c r="C519" s="49">
        <f>SUM(C515:C518)</f>
        <v>58.22</v>
      </c>
    </row>
    <row r="520" spans="1:3">
      <c r="A520" s="2"/>
      <c r="B520" s="50" t="s">
        <v>3</v>
      </c>
      <c r="C520" s="49">
        <f>+B518-B515</f>
        <v>58.220000000001164</v>
      </c>
    </row>
    <row r="521" spans="1:3">
      <c r="A521" s="5"/>
      <c r="B521" s="47"/>
      <c r="C521" s="41"/>
    </row>
    <row r="522" spans="1:3">
      <c r="A522" s="41" t="s">
        <v>48</v>
      </c>
      <c r="B522" s="50" t="s">
        <v>5</v>
      </c>
      <c r="C522" s="50">
        <f>SUMIF(A516:A518,"&lt;0")</f>
        <v>-70907.3</v>
      </c>
    </row>
    <row r="523" spans="1:3">
      <c r="A523" s="41" t="str">
        <f>"SPY " &amp; COUNT(C516:C518) * 100 &amp; "股"</f>
        <v>SPY 100股</v>
      </c>
      <c r="B523" s="50" t="s">
        <v>6</v>
      </c>
      <c r="C523" s="50">
        <f>SUMIF(A516:A518,"&gt;0")</f>
        <v>70965.52</v>
      </c>
    </row>
    <row r="524" spans="1:3" ht="17.25" customHeight="1" thickBot="1">
      <c r="A524" s="46"/>
      <c r="B524" s="50" t="s">
        <v>7</v>
      </c>
      <c r="C524" s="51">
        <f>+C522+C523</f>
        <v>58.220000000001164</v>
      </c>
    </row>
    <row r="525" spans="1:3" ht="17.25" customHeight="1" thickTop="1">
      <c r="A525" s="46"/>
      <c r="B525" s="50" t="s">
        <v>8</v>
      </c>
      <c r="C525" s="36">
        <f>C524/ABS(C522)</f>
        <v>8.2107201938307007E-4</v>
      </c>
    </row>
    <row r="526" spans="1:3">
      <c r="A526" s="5"/>
      <c r="B526" s="41"/>
      <c r="C526" s="41"/>
    </row>
    <row r="527" spans="1:3">
      <c r="A527" s="5"/>
      <c r="B527" s="41"/>
      <c r="C527" s="41"/>
    </row>
    <row r="528" spans="1:3" ht="30" customHeight="1">
      <c r="A528" s="46" t="s">
        <v>49</v>
      </c>
      <c r="B528" s="47">
        <v>99034.42</v>
      </c>
      <c r="C528" s="48" t="s">
        <v>1</v>
      </c>
    </row>
    <row r="529" spans="1:3">
      <c r="A529" s="2">
        <v>-19182.29</v>
      </c>
      <c r="B529" s="47">
        <f t="shared" ref="B529:B550" si="14">+B528+A529</f>
        <v>79852.13</v>
      </c>
      <c r="C529" s="13"/>
    </row>
    <row r="530" spans="1:3">
      <c r="A530" s="2">
        <v>-51864.3</v>
      </c>
      <c r="B530" s="47">
        <f t="shared" si="14"/>
        <v>27987.83</v>
      </c>
      <c r="C530" s="13"/>
    </row>
    <row r="531" spans="1:3">
      <c r="A531" s="2">
        <v>71041.52</v>
      </c>
      <c r="B531" s="47">
        <f t="shared" si="14"/>
        <v>99029.35</v>
      </c>
      <c r="C531" s="15">
        <v>-5.07</v>
      </c>
    </row>
    <row r="532" spans="1:3">
      <c r="A532" s="2">
        <v>-70974</v>
      </c>
      <c r="B532" s="47">
        <f t="shared" si="14"/>
        <v>28055.350000000006</v>
      </c>
      <c r="C532" s="13"/>
    </row>
    <row r="533" spans="1:3">
      <c r="A533" s="2">
        <v>71006.02</v>
      </c>
      <c r="B533" s="47">
        <f t="shared" si="14"/>
        <v>99061.37000000001</v>
      </c>
      <c r="C533" s="14">
        <v>32.020000000000003</v>
      </c>
    </row>
    <row r="534" spans="1:3">
      <c r="A534" s="2">
        <v>-70981.990000000005</v>
      </c>
      <c r="B534" s="47">
        <f t="shared" si="14"/>
        <v>28079.380000000005</v>
      </c>
      <c r="C534" s="13"/>
    </row>
    <row r="535" spans="1:3">
      <c r="A535" s="2">
        <v>71024.240000000005</v>
      </c>
      <c r="B535" s="47">
        <f t="shared" si="14"/>
        <v>99103.62000000001</v>
      </c>
      <c r="C535" s="14">
        <v>42.25</v>
      </c>
    </row>
    <row r="536" spans="1:3">
      <c r="A536" s="2">
        <v>-71059.5</v>
      </c>
      <c r="B536" s="47">
        <f t="shared" si="14"/>
        <v>28044.12000000001</v>
      </c>
      <c r="C536" s="13"/>
    </row>
    <row r="537" spans="1:3">
      <c r="A537" s="2">
        <v>71064.03</v>
      </c>
      <c r="B537" s="47">
        <f t="shared" si="14"/>
        <v>99108.150000000009</v>
      </c>
      <c r="C537" s="14">
        <v>4.53</v>
      </c>
    </row>
    <row r="538" spans="1:3">
      <c r="A538" s="2">
        <v>-71078</v>
      </c>
      <c r="B538" s="47">
        <f t="shared" si="14"/>
        <v>28030.150000000009</v>
      </c>
      <c r="C538" s="13"/>
    </row>
    <row r="539" spans="1:3">
      <c r="A539" s="2">
        <v>71097.52</v>
      </c>
      <c r="B539" s="47">
        <f t="shared" si="14"/>
        <v>99127.670000000013</v>
      </c>
      <c r="C539" s="14">
        <v>19.52</v>
      </c>
    </row>
    <row r="540" spans="1:3">
      <c r="A540" s="2">
        <v>-71060.5</v>
      </c>
      <c r="B540" s="47">
        <f t="shared" si="14"/>
        <v>28067.170000000013</v>
      </c>
      <c r="C540" s="13"/>
    </row>
    <row r="541" spans="1:3">
      <c r="A541" s="2">
        <v>710.83</v>
      </c>
      <c r="B541" s="47">
        <f t="shared" si="14"/>
        <v>28778.000000000015</v>
      </c>
      <c r="C541" s="13"/>
    </row>
    <row r="542" spans="1:3">
      <c r="A542" s="2">
        <v>11373.06</v>
      </c>
      <c r="B542" s="47">
        <f t="shared" si="14"/>
        <v>40151.060000000012</v>
      </c>
      <c r="C542" s="13"/>
    </row>
    <row r="543" spans="1:3">
      <c r="A543" s="2">
        <v>58997.67</v>
      </c>
      <c r="B543" s="47">
        <f t="shared" si="14"/>
        <v>99148.73000000001</v>
      </c>
      <c r="C543" s="14">
        <v>21.06</v>
      </c>
    </row>
    <row r="544" spans="1:3">
      <c r="A544" s="2">
        <v>-71172.990000000005</v>
      </c>
      <c r="B544" s="47">
        <f t="shared" si="14"/>
        <v>27975.740000000005</v>
      </c>
      <c r="C544" s="13"/>
    </row>
    <row r="545" spans="1:3">
      <c r="A545" s="2">
        <v>14234.11</v>
      </c>
      <c r="B545" s="47">
        <f t="shared" si="14"/>
        <v>42209.850000000006</v>
      </c>
      <c r="C545" s="13"/>
    </row>
    <row r="546" spans="1:3">
      <c r="A546" s="2">
        <v>2135.11</v>
      </c>
      <c r="B546" s="47">
        <f t="shared" si="14"/>
        <v>44344.960000000006</v>
      </c>
      <c r="C546" s="13"/>
    </row>
    <row r="547" spans="1:3">
      <c r="A547" s="2">
        <v>26333.1</v>
      </c>
      <c r="B547" s="47">
        <f t="shared" si="14"/>
        <v>70678.06</v>
      </c>
      <c r="C547" s="13"/>
    </row>
    <row r="548" spans="1:3">
      <c r="A548" s="2">
        <v>28468.2</v>
      </c>
      <c r="B548" s="47">
        <f t="shared" si="14"/>
        <v>99146.26</v>
      </c>
      <c r="C548" s="15">
        <v>-2.4700000000000002</v>
      </c>
    </row>
    <row r="549" spans="1:3">
      <c r="A549" s="16">
        <v>-71205.990000000005</v>
      </c>
      <c r="B549" s="47">
        <f t="shared" si="14"/>
        <v>27940.26999999999</v>
      </c>
      <c r="C549" s="13"/>
    </row>
    <row r="550" spans="1:3">
      <c r="A550" s="16">
        <v>-71129</v>
      </c>
      <c r="B550" s="47">
        <f t="shared" si="14"/>
        <v>-43188.73000000001</v>
      </c>
      <c r="C550" s="13"/>
    </row>
    <row r="551" spans="1:3">
      <c r="A551" s="2"/>
      <c r="B551" s="50" t="s">
        <v>2</v>
      </c>
      <c r="C551" s="49">
        <f>SUM(C529:C550)</f>
        <v>111.84</v>
      </c>
    </row>
    <row r="552" spans="1:3">
      <c r="A552" s="2"/>
      <c r="B552" s="50" t="s">
        <v>3</v>
      </c>
      <c r="C552" s="49">
        <f>+B548-B528</f>
        <v>111.83999999999651</v>
      </c>
    </row>
    <row r="553" spans="1:3">
      <c r="A553" s="5"/>
      <c r="B553" s="47"/>
      <c r="C553" s="41"/>
    </row>
    <row r="554" spans="1:3">
      <c r="A554" s="41" t="s">
        <v>50</v>
      </c>
      <c r="B554" s="50" t="s">
        <v>5</v>
      </c>
      <c r="C554" s="50">
        <f>SUMIF(A529:A548,"&lt;0")</f>
        <v>-497373.57</v>
      </c>
    </row>
    <row r="555" spans="1:3">
      <c r="A555" s="41" t="str">
        <f>"SPY " &amp; COUNT(C529:C548) * 100 &amp; "股"</f>
        <v>SPY 700股</v>
      </c>
      <c r="B555" s="50" t="s">
        <v>6</v>
      </c>
      <c r="C555" s="50">
        <f>SUMIF(A529:A548,"&gt;0")</f>
        <v>497485.41000000003</v>
      </c>
    </row>
    <row r="556" spans="1:3" ht="17.25" customHeight="1" thickBot="1">
      <c r="A556" s="46"/>
      <c r="B556" s="50" t="s">
        <v>7</v>
      </c>
      <c r="C556" s="51">
        <f>+C554+C555</f>
        <v>111.84000000002561</v>
      </c>
    </row>
    <row r="557" spans="1:3" ht="17.25" customHeight="1" thickTop="1">
      <c r="A557" s="46"/>
      <c r="B557" s="50" t="s">
        <v>8</v>
      </c>
      <c r="C557" s="36">
        <f>C556/ABS(C554)</f>
        <v>2.2486116421511021E-4</v>
      </c>
    </row>
    <row r="558" spans="1:3">
      <c r="A558" s="5"/>
      <c r="B558" s="41"/>
      <c r="C558" s="41"/>
    </row>
    <row r="559" spans="1:3">
      <c r="A559" s="41" t="s">
        <v>10</v>
      </c>
      <c r="B559" s="41"/>
      <c r="C559" s="41"/>
    </row>
    <row r="560" spans="1:3">
      <c r="A560" s="41" t="s">
        <v>51</v>
      </c>
      <c r="B560" s="41" t="s">
        <v>12</v>
      </c>
      <c r="C560" s="50">
        <v>-71205.990000000005</v>
      </c>
    </row>
    <row r="561" spans="1:3">
      <c r="A561" s="41" t="s">
        <v>51</v>
      </c>
      <c r="B561" s="41" t="s">
        <v>12</v>
      </c>
      <c r="C561" s="50">
        <v>-71129</v>
      </c>
    </row>
    <row r="562" spans="1:3">
      <c r="A562" s="5"/>
      <c r="B562" s="41"/>
      <c r="C562" s="41"/>
    </row>
    <row r="563" spans="1:3">
      <c r="A563" s="5"/>
      <c r="B563" s="41"/>
      <c r="C563" s="41"/>
    </row>
    <row r="564" spans="1:3">
      <c r="A564" s="5"/>
      <c r="B564" s="41"/>
      <c r="C564" s="41"/>
    </row>
    <row r="565" spans="1:3">
      <c r="A565" s="5"/>
      <c r="B565" s="41"/>
      <c r="C565" s="41"/>
    </row>
    <row r="566" spans="1:3">
      <c r="A566" s="5"/>
      <c r="B566" s="41"/>
      <c r="C566" s="41"/>
    </row>
    <row r="567" spans="1:3">
      <c r="A567" s="5"/>
      <c r="B567" s="41"/>
      <c r="C567" s="41"/>
    </row>
    <row r="568" spans="1:3" ht="30" customHeight="1">
      <c r="A568" s="46" t="s">
        <v>52</v>
      </c>
      <c r="B568" s="47">
        <v>99092.64</v>
      </c>
      <c r="C568" s="48" t="s">
        <v>1</v>
      </c>
    </row>
    <row r="569" spans="1:3">
      <c r="A569" s="6">
        <v>71146.509999999995</v>
      </c>
      <c r="B569" s="47">
        <f>+B568+A569</f>
        <v>170239.15</v>
      </c>
      <c r="C569" s="14">
        <v>17.510000000000002</v>
      </c>
    </row>
    <row r="570" spans="1:3">
      <c r="A570" s="6">
        <v>35591.269999999997</v>
      </c>
      <c r="B570" s="47">
        <f>+B569+A570</f>
        <v>205830.41999999998</v>
      </c>
      <c r="C570" s="13"/>
    </row>
    <row r="571" spans="1:3">
      <c r="A571" s="6">
        <v>28473</v>
      </c>
      <c r="B571" s="47">
        <f>+B570+A571</f>
        <v>234303.41999999998</v>
      </c>
      <c r="C571" s="13"/>
    </row>
    <row r="572" spans="1:3">
      <c r="A572" s="6">
        <v>711.83</v>
      </c>
      <c r="B572" s="47">
        <f>+B571+A572</f>
        <v>235015.24999999997</v>
      </c>
      <c r="C572" s="13"/>
    </row>
    <row r="573" spans="1:3">
      <c r="A573" s="6">
        <v>6406.42</v>
      </c>
      <c r="B573" s="47">
        <f>+B572+A573</f>
        <v>241421.66999999998</v>
      </c>
      <c r="C573" s="15">
        <v>-23.47</v>
      </c>
    </row>
    <row r="574" spans="1:3">
      <c r="A574" s="6"/>
      <c r="B574" s="50" t="s">
        <v>2</v>
      </c>
      <c r="C574" s="49">
        <v>0</v>
      </c>
    </row>
    <row r="575" spans="1:3">
      <c r="A575" s="6"/>
      <c r="B575" s="50" t="s">
        <v>3</v>
      </c>
      <c r="C575" s="49">
        <v>0</v>
      </c>
    </row>
    <row r="576" spans="1:3">
      <c r="A576" s="41" t="s">
        <v>53</v>
      </c>
      <c r="B576" s="47"/>
      <c r="C576" s="15"/>
    </row>
    <row r="577" spans="1:3">
      <c r="A577" s="6"/>
      <c r="B577" s="47"/>
      <c r="C577" s="15"/>
    </row>
    <row r="578" spans="1:3">
      <c r="A578" s="41" t="s">
        <v>54</v>
      </c>
      <c r="B578" s="50" t="s">
        <v>55</v>
      </c>
      <c r="C578" s="50">
        <v>-71205.990000000005</v>
      </c>
    </row>
    <row r="579" spans="1:3">
      <c r="A579" s="41" t="s">
        <v>56</v>
      </c>
      <c r="B579" s="50" t="s">
        <v>55</v>
      </c>
      <c r="C579" s="50">
        <v>71182.52</v>
      </c>
    </row>
    <row r="580" spans="1:3" ht="17.25" customHeight="1" thickBot="1">
      <c r="A580" s="46"/>
      <c r="B580" s="50" t="s">
        <v>7</v>
      </c>
      <c r="C580" s="51">
        <f>+C578+C579</f>
        <v>-23.470000000001164</v>
      </c>
    </row>
    <row r="581" spans="1:3" ht="17.25" customHeight="1" thickTop="1">
      <c r="A581" s="46"/>
      <c r="B581" s="50" t="s">
        <v>8</v>
      </c>
      <c r="C581" s="36">
        <f>C580/ABS(C578)</f>
        <v>-3.296071018744513E-4</v>
      </c>
    </row>
    <row r="582" spans="1:3">
      <c r="A582" s="41"/>
      <c r="B582" s="41"/>
      <c r="C582" s="41"/>
    </row>
    <row r="583" spans="1:3">
      <c r="A583" s="41" t="s">
        <v>54</v>
      </c>
      <c r="B583" s="50" t="s">
        <v>55</v>
      </c>
      <c r="C583" s="50">
        <v>-71129</v>
      </c>
    </row>
    <row r="584" spans="1:3">
      <c r="A584" s="41" t="s">
        <v>56</v>
      </c>
      <c r="B584" s="50" t="s">
        <v>55</v>
      </c>
      <c r="C584" s="50">
        <v>71146.509999999995</v>
      </c>
    </row>
    <row r="585" spans="1:3" ht="17.25" customHeight="1" thickBot="1">
      <c r="A585" s="46"/>
      <c r="B585" s="50" t="s">
        <v>7</v>
      </c>
      <c r="C585" s="51">
        <f>+C583+C584</f>
        <v>17.509999999994761</v>
      </c>
    </row>
    <row r="586" spans="1:3" ht="17.25" customHeight="1" thickTop="1">
      <c r="A586" s="46"/>
      <c r="B586" s="50" t="s">
        <v>8</v>
      </c>
      <c r="C586" s="36">
        <f>C585/ABS(C583)</f>
        <v>2.4617244724366659E-4</v>
      </c>
    </row>
    <row r="587" spans="1:3">
      <c r="A587" s="46"/>
      <c r="B587" s="46"/>
      <c r="C587" s="46"/>
    </row>
    <row r="588" spans="1:3">
      <c r="A588" s="46"/>
      <c r="B588" s="46"/>
      <c r="C588" s="46"/>
    </row>
    <row r="589" spans="1:3">
      <c r="A589" s="5"/>
      <c r="B589" s="41"/>
      <c r="C589" s="41"/>
    </row>
    <row r="590" spans="1:3">
      <c r="A590" s="5"/>
      <c r="B590" s="41"/>
      <c r="C590" s="41"/>
    </row>
    <row r="591" spans="1:3">
      <c r="A591" s="5"/>
      <c r="B591" s="41"/>
      <c r="C591" s="41"/>
    </row>
    <row r="592" spans="1:3" ht="30" customHeight="1">
      <c r="A592" s="46" t="s">
        <v>57</v>
      </c>
      <c r="B592" s="47">
        <v>-43130.51</v>
      </c>
      <c r="C592" s="48" t="s">
        <v>1</v>
      </c>
    </row>
    <row r="593" spans="1:3">
      <c r="A593" s="2">
        <v>-71388.160000000003</v>
      </c>
      <c r="B593" s="47">
        <f>+B592+A593</f>
        <v>-114518.67000000001</v>
      </c>
      <c r="C593" s="13"/>
    </row>
    <row r="594" spans="1:3">
      <c r="A594" s="2">
        <v>71429.009999999995</v>
      </c>
      <c r="B594" s="47">
        <f>+B593+A594</f>
        <v>-43089.660000000018</v>
      </c>
      <c r="C594" s="14">
        <v>40.85</v>
      </c>
    </row>
    <row r="595" spans="1:3">
      <c r="A595" s="2"/>
      <c r="B595" s="50" t="s">
        <v>2</v>
      </c>
      <c r="C595" s="49">
        <f>SUM(C593:C594)</f>
        <v>40.85</v>
      </c>
    </row>
    <row r="596" spans="1:3">
      <c r="A596" s="2"/>
      <c r="B596" s="50" t="s">
        <v>3</v>
      </c>
      <c r="C596" s="49">
        <f>+B594-B592</f>
        <v>40.849999999983993</v>
      </c>
    </row>
    <row r="597" spans="1:3">
      <c r="A597" s="5"/>
      <c r="B597" s="47"/>
      <c r="C597" s="41"/>
    </row>
    <row r="598" spans="1:3">
      <c r="A598" s="41" t="s">
        <v>58</v>
      </c>
      <c r="B598" s="50" t="s">
        <v>5</v>
      </c>
      <c r="C598" s="50">
        <f>SUMIF(A593:A594,"&lt;0")</f>
        <v>-71388.160000000003</v>
      </c>
    </row>
    <row r="599" spans="1:3">
      <c r="A599" s="41" t="str">
        <f>"SPY " &amp; COUNT(C593:C594) * 100 &amp; "股"</f>
        <v>SPY 100股</v>
      </c>
      <c r="B599" s="50" t="s">
        <v>6</v>
      </c>
      <c r="C599" s="50">
        <f>SUMIF(A593:A594,"&gt;0")</f>
        <v>71429.009999999995</v>
      </c>
    </row>
    <row r="600" spans="1:3" ht="17.25" customHeight="1" thickBot="1">
      <c r="A600" s="46"/>
      <c r="B600" s="50" t="s">
        <v>7</v>
      </c>
      <c r="C600" s="51">
        <f>+C598+C599</f>
        <v>40.849999999991269</v>
      </c>
    </row>
    <row r="601" spans="1:3" ht="17.25" customHeight="1" thickTop="1">
      <c r="A601" s="46"/>
      <c r="B601" s="50" t="s">
        <v>8</v>
      </c>
      <c r="C601" s="36">
        <f>C600/ABS(C598)</f>
        <v>5.722237413037577E-4</v>
      </c>
    </row>
    <row r="602" spans="1:3">
      <c r="A602" s="5"/>
      <c r="B602" s="41"/>
      <c r="C602" s="41"/>
    </row>
    <row r="603" spans="1:3">
      <c r="A603" s="5"/>
      <c r="B603" s="41"/>
      <c r="C603" s="41"/>
    </row>
    <row r="604" spans="1:3" ht="30" customHeight="1">
      <c r="A604" s="46" t="s">
        <v>59</v>
      </c>
      <c r="B604" s="47">
        <v>99198.52</v>
      </c>
      <c r="C604" s="48" t="s">
        <v>1</v>
      </c>
    </row>
    <row r="605" spans="1:3">
      <c r="A605" s="6">
        <v>-71170.58</v>
      </c>
      <c r="B605" s="47">
        <f t="shared" ref="B605:B611" si="15">+B604+A605</f>
        <v>28027.940000000002</v>
      </c>
      <c r="C605" s="17"/>
    </row>
    <row r="606" spans="1:3">
      <c r="A606" s="6">
        <v>71179.509999999995</v>
      </c>
      <c r="B606" s="47">
        <f t="shared" si="15"/>
        <v>99207.45</v>
      </c>
      <c r="C606" s="18">
        <v>8.93</v>
      </c>
    </row>
    <row r="607" spans="1:3">
      <c r="A607" s="19">
        <v>-71240.38</v>
      </c>
      <c r="B607" s="55">
        <f t="shared" si="15"/>
        <v>27967.069999999992</v>
      </c>
      <c r="C607" s="17"/>
    </row>
    <row r="608" spans="1:3">
      <c r="A608" s="6">
        <v>-28496.400000000001</v>
      </c>
      <c r="B608" s="47">
        <f t="shared" si="15"/>
        <v>-529.33000000000902</v>
      </c>
      <c r="C608" s="17"/>
    </row>
    <row r="609" spans="1:3">
      <c r="A609" s="6">
        <v>-42744.6</v>
      </c>
      <c r="B609" s="47">
        <f t="shared" si="15"/>
        <v>-43273.930000000008</v>
      </c>
      <c r="C609" s="17"/>
    </row>
    <row r="610" spans="1:3">
      <c r="A610" s="6">
        <v>71229.51999999999</v>
      </c>
      <c r="B610" s="47">
        <f t="shared" si="15"/>
        <v>27955.589999999982</v>
      </c>
      <c r="C610" s="20">
        <v>-11.48</v>
      </c>
    </row>
    <row r="611" spans="1:3">
      <c r="A611" s="19">
        <v>-71205</v>
      </c>
      <c r="B611" s="55">
        <f t="shared" si="15"/>
        <v>-43249.410000000018</v>
      </c>
      <c r="C611" s="17"/>
    </row>
    <row r="612" spans="1:3">
      <c r="A612" s="2"/>
      <c r="B612" s="50" t="s">
        <v>2</v>
      </c>
      <c r="C612" s="49">
        <f>SUM(C605:C611)</f>
        <v>-2.5500000000000007</v>
      </c>
    </row>
    <row r="613" spans="1:3">
      <c r="A613" s="2"/>
      <c r="B613" s="50" t="s">
        <v>3</v>
      </c>
      <c r="C613" s="49">
        <f>+B611-B604-A611-A607</f>
        <v>-2.5500000000174623</v>
      </c>
    </row>
    <row r="614" spans="1:3">
      <c r="A614" s="5"/>
      <c r="B614" s="47"/>
      <c r="C614" s="41"/>
    </row>
    <row r="615" spans="1:3">
      <c r="A615" s="41" t="s">
        <v>60</v>
      </c>
      <c r="B615" s="50" t="s">
        <v>5</v>
      </c>
      <c r="C615" s="50">
        <f>SUMIF(A605:A611,"&lt;0")-A607-A611</f>
        <v>-142411.58000000002</v>
      </c>
    </row>
    <row r="616" spans="1:3">
      <c r="A616" s="41" t="str">
        <f>"SPY " &amp; COUNT(C605:C611) * 100 &amp; "股"</f>
        <v>SPY 200股</v>
      </c>
      <c r="B616" s="50" t="s">
        <v>6</v>
      </c>
      <c r="C616" s="50">
        <f>SUMIF(A605:A611,"&gt;0")</f>
        <v>142409.02999999997</v>
      </c>
    </row>
    <row r="617" spans="1:3" ht="17.25" customHeight="1" thickBot="1">
      <c r="A617" s="46"/>
      <c r="B617" s="50" t="s">
        <v>7</v>
      </c>
      <c r="C617" s="51">
        <f>+C615+C616</f>
        <v>-2.5500000000465661</v>
      </c>
    </row>
    <row r="618" spans="1:3" ht="17.25" customHeight="1" thickTop="1">
      <c r="A618" s="46"/>
      <c r="B618" s="50" t="s">
        <v>8</v>
      </c>
      <c r="C618" s="36">
        <f>C617/ABS(C615)</f>
        <v>-1.7905847263590262E-5</v>
      </c>
    </row>
    <row r="619" spans="1:3">
      <c r="A619" s="5"/>
      <c r="B619" s="41"/>
      <c r="C619" s="41"/>
    </row>
    <row r="620" spans="1:3">
      <c r="A620" s="41" t="s">
        <v>10</v>
      </c>
      <c r="B620" s="41"/>
      <c r="C620" s="41"/>
    </row>
    <row r="621" spans="1:3">
      <c r="A621" s="41" t="s">
        <v>61</v>
      </c>
      <c r="B621" s="41" t="s">
        <v>12</v>
      </c>
      <c r="C621" s="50">
        <f>A607</f>
        <v>-71240.38</v>
      </c>
    </row>
    <row r="622" spans="1:3">
      <c r="A622" s="41" t="s">
        <v>61</v>
      </c>
      <c r="B622" s="41" t="s">
        <v>12</v>
      </c>
      <c r="C622" s="50">
        <f>A611</f>
        <v>-71205</v>
      </c>
    </row>
    <row r="623" spans="1:3">
      <c r="A623" s="5"/>
      <c r="B623" s="41"/>
      <c r="C623" s="41"/>
    </row>
    <row r="624" spans="1:3">
      <c r="A624" s="5"/>
      <c r="B624" s="41"/>
      <c r="C624" s="41"/>
    </row>
    <row r="625" spans="1:3" ht="30" customHeight="1">
      <c r="A625" s="46" t="s">
        <v>62</v>
      </c>
      <c r="B625" s="47">
        <v>99239.37</v>
      </c>
      <c r="C625" s="48" t="s">
        <v>1</v>
      </c>
    </row>
    <row r="626" spans="1:3">
      <c r="A626" s="2">
        <v>-71114</v>
      </c>
      <c r="B626" s="47">
        <f>+B625+A626</f>
        <v>28125.369999999995</v>
      </c>
      <c r="C626" s="13"/>
    </row>
    <row r="627" spans="1:3">
      <c r="A627" s="2">
        <v>71146.009999999995</v>
      </c>
      <c r="B627" s="47">
        <f>+B626+A627</f>
        <v>99271.37999999999</v>
      </c>
      <c r="C627" s="14">
        <v>32.01</v>
      </c>
    </row>
    <row r="628" spans="1:3">
      <c r="A628" s="2"/>
      <c r="B628" s="50" t="s">
        <v>2</v>
      </c>
      <c r="C628" s="49">
        <f>SUM(C626:C627)</f>
        <v>32.01</v>
      </c>
    </row>
    <row r="629" spans="1:3">
      <c r="A629" s="2"/>
      <c r="B629" s="50" t="s">
        <v>3</v>
      </c>
      <c r="C629" s="49">
        <f>+B627-B625</f>
        <v>32.009999999994761</v>
      </c>
    </row>
    <row r="630" spans="1:3">
      <c r="A630" s="5"/>
      <c r="B630" s="47"/>
      <c r="C630" s="41"/>
    </row>
    <row r="631" spans="1:3">
      <c r="A631" s="41" t="s">
        <v>63</v>
      </c>
      <c r="B631" s="50" t="s">
        <v>5</v>
      </c>
      <c r="C631" s="50">
        <f>SUMIF(A626:A627,"&lt;0")</f>
        <v>-71114</v>
      </c>
    </row>
    <row r="632" spans="1:3">
      <c r="A632" s="41" t="str">
        <f>"SPY " &amp; COUNT(C626:C627) * 100 &amp; "股"</f>
        <v>SPY 100股</v>
      </c>
      <c r="B632" s="50" t="s">
        <v>6</v>
      </c>
      <c r="C632" s="50">
        <f>SUMIF(A626:A627,"&gt;0")</f>
        <v>71146.009999999995</v>
      </c>
    </row>
    <row r="633" spans="1:3" ht="17.25" customHeight="1" thickBot="1">
      <c r="A633" s="46"/>
      <c r="B633" s="50" t="s">
        <v>7</v>
      </c>
      <c r="C633" s="51">
        <f>+C631+C632</f>
        <v>32.009999999994761</v>
      </c>
    </row>
    <row r="634" spans="1:3" ht="17.25" customHeight="1" thickTop="1">
      <c r="A634" s="46"/>
      <c r="B634" s="50" t="s">
        <v>8</v>
      </c>
      <c r="C634" s="36">
        <f>C633/ABS(C631)</f>
        <v>4.5012233877991342E-4</v>
      </c>
    </row>
    <row r="635" spans="1:3">
      <c r="A635" s="5"/>
      <c r="B635" s="41"/>
      <c r="C635" s="41"/>
    </row>
    <row r="636" spans="1:3">
      <c r="A636" s="41" t="s">
        <v>10</v>
      </c>
      <c r="B636" s="41"/>
      <c r="C636" s="41"/>
    </row>
    <row r="637" spans="1:3">
      <c r="A637" s="41" t="s">
        <v>61</v>
      </c>
      <c r="B637" s="41" t="s">
        <v>12</v>
      </c>
      <c r="C637" s="50">
        <f>C621</f>
        <v>-71240.38</v>
      </c>
    </row>
    <row r="638" spans="1:3">
      <c r="A638" s="41" t="s">
        <v>61</v>
      </c>
      <c r="B638" s="41" t="s">
        <v>12</v>
      </c>
      <c r="C638" s="50">
        <f>C622</f>
        <v>-71205</v>
      </c>
    </row>
    <row r="639" spans="1:3">
      <c r="A639" s="5"/>
      <c r="B639" s="41"/>
      <c r="C639" s="41"/>
    </row>
    <row r="640" spans="1:3">
      <c r="A640" s="5"/>
      <c r="B640" s="41"/>
      <c r="C640" s="41"/>
    </row>
    <row r="641" spans="1:3" ht="30" customHeight="1">
      <c r="A641" s="46" t="s">
        <v>64</v>
      </c>
      <c r="B641" s="47">
        <v>-181432.03</v>
      </c>
      <c r="C641" s="48" t="s">
        <v>1</v>
      </c>
    </row>
    <row r="642" spans="1:3">
      <c r="A642" s="2">
        <v>71465.51999999999</v>
      </c>
      <c r="B642" s="47">
        <f>+B641+A642</f>
        <v>-109966.51000000001</v>
      </c>
      <c r="C642" s="14">
        <v>260.52</v>
      </c>
    </row>
    <row r="643" spans="1:3">
      <c r="A643" s="2">
        <v>71416.009999999995</v>
      </c>
      <c r="B643" s="47">
        <f>+B642+A643</f>
        <v>-38550.500000000015</v>
      </c>
      <c r="C643" s="14">
        <v>175.63</v>
      </c>
    </row>
    <row r="644" spans="1:3">
      <c r="A644" s="2">
        <v>-71439.34</v>
      </c>
      <c r="B644" s="47">
        <f>+B643+A644</f>
        <v>-109989.84000000001</v>
      </c>
      <c r="C644" s="13"/>
    </row>
    <row r="645" spans="1:3">
      <c r="A645" s="2">
        <v>71430.509999999995</v>
      </c>
      <c r="B645" s="47">
        <f>+B644+A645</f>
        <v>-38559.330000000016</v>
      </c>
      <c r="C645" s="15">
        <v>-8.83</v>
      </c>
    </row>
    <row r="646" spans="1:3">
      <c r="A646" s="2"/>
      <c r="B646" s="50" t="s">
        <v>2</v>
      </c>
      <c r="C646" s="49">
        <f>SUM(C644:C645)</f>
        <v>-8.83</v>
      </c>
    </row>
    <row r="647" spans="1:3">
      <c r="A647" s="2"/>
      <c r="B647" s="50" t="s">
        <v>3</v>
      </c>
      <c r="C647" s="49">
        <f>+B645-B643</f>
        <v>-8.8300000000017462</v>
      </c>
    </row>
    <row r="648" spans="1:3">
      <c r="A648" s="5"/>
      <c r="B648" s="47"/>
      <c r="C648" s="41"/>
    </row>
    <row r="649" spans="1:3">
      <c r="A649" s="41" t="s">
        <v>65</v>
      </c>
      <c r="B649" s="50" t="s">
        <v>5</v>
      </c>
      <c r="C649" s="50">
        <f>SUMIF(A644:A645,"&lt;0")</f>
        <v>-71439.34</v>
      </c>
    </row>
    <row r="650" spans="1:3">
      <c r="A650" s="41" t="str">
        <f>"SPY " &amp; COUNT(C644:C645) * 100 &amp; "股"</f>
        <v>SPY 100股</v>
      </c>
      <c r="B650" s="50" t="s">
        <v>6</v>
      </c>
      <c r="C650" s="50">
        <f>SUMIF(A644:A645,"&gt;0")</f>
        <v>71430.509999999995</v>
      </c>
    </row>
    <row r="651" spans="1:3" ht="17.25" customHeight="1" thickBot="1">
      <c r="A651" s="46"/>
      <c r="B651" s="50" t="s">
        <v>7</v>
      </c>
      <c r="C651" s="51">
        <f>+C649+C650</f>
        <v>-8.8300000000017462</v>
      </c>
    </row>
    <row r="652" spans="1:3" ht="17.25" customHeight="1" thickTop="1">
      <c r="A652" s="46"/>
      <c r="B652" s="50" t="s">
        <v>8</v>
      </c>
      <c r="C652" s="36">
        <f>C651/ABS(C649)</f>
        <v>-1.2360136585810768E-4</v>
      </c>
    </row>
    <row r="653" spans="1:3">
      <c r="A653" s="5"/>
      <c r="B653" s="41"/>
      <c r="C653" s="41"/>
    </row>
    <row r="654" spans="1:3">
      <c r="A654" s="5"/>
      <c r="B654" s="41"/>
      <c r="C654" s="41"/>
    </row>
    <row r="655" spans="1:3">
      <c r="A655" s="41" t="s">
        <v>66</v>
      </c>
      <c r="B655" s="50" t="s">
        <v>55</v>
      </c>
      <c r="C655" s="50">
        <f>C638</f>
        <v>-71205</v>
      </c>
    </row>
    <row r="656" spans="1:3">
      <c r="A656" s="41" t="s">
        <v>67</v>
      </c>
      <c r="B656" s="50" t="s">
        <v>55</v>
      </c>
      <c r="C656" s="50">
        <f>A642</f>
        <v>71465.51999999999</v>
      </c>
    </row>
    <row r="657" spans="1:3" ht="17.25" customHeight="1" thickBot="1">
      <c r="A657" s="46"/>
      <c r="B657" s="50" t="s">
        <v>7</v>
      </c>
      <c r="C657" s="51">
        <f>+C655+C656</f>
        <v>260.51999999998952</v>
      </c>
    </row>
    <row r="658" spans="1:3" ht="17.25" customHeight="1" thickTop="1">
      <c r="A658" s="46"/>
      <c r="B658" s="50" t="s">
        <v>8</v>
      </c>
      <c r="C658" s="36">
        <f>C657/ABS(C655)</f>
        <v>3.6587318306297244E-3</v>
      </c>
    </row>
    <row r="659" spans="1:3">
      <c r="A659" s="41"/>
      <c r="B659" s="41"/>
      <c r="C659" s="41"/>
    </row>
    <row r="660" spans="1:3">
      <c r="A660" s="41" t="s">
        <v>66</v>
      </c>
      <c r="B660" s="50" t="s">
        <v>55</v>
      </c>
      <c r="C660" s="50">
        <f>C637</f>
        <v>-71240.38</v>
      </c>
    </row>
    <row r="661" spans="1:3">
      <c r="A661" s="41" t="s">
        <v>67</v>
      </c>
      <c r="B661" s="50" t="s">
        <v>55</v>
      </c>
      <c r="C661" s="50">
        <f>A643</f>
        <v>71416.009999999995</v>
      </c>
    </row>
    <row r="662" spans="1:3" ht="17.25" customHeight="1" thickBot="1">
      <c r="A662" s="46"/>
      <c r="B662" s="50" t="s">
        <v>7</v>
      </c>
      <c r="C662" s="51">
        <f>+C660+C661</f>
        <v>175.6299999999901</v>
      </c>
    </row>
    <row r="663" spans="1:3" ht="17.25" customHeight="1" thickTop="1">
      <c r="A663" s="46"/>
      <c r="B663" s="50" t="s">
        <v>8</v>
      </c>
      <c r="C663" s="36">
        <f>C662/ABS(C660)</f>
        <v>2.4653153169591473E-3</v>
      </c>
    </row>
    <row r="664" spans="1:3">
      <c r="A664" s="5"/>
      <c r="B664" s="41"/>
      <c r="C664" s="41"/>
    </row>
    <row r="665" spans="1:3">
      <c r="A665" s="5"/>
      <c r="B665" s="41"/>
      <c r="C665" s="41"/>
    </row>
    <row r="666" spans="1:3" ht="30" customHeight="1">
      <c r="A666" s="46" t="s">
        <v>68</v>
      </c>
      <c r="B666" s="47">
        <v>-38559.33</v>
      </c>
      <c r="C666" s="48" t="s">
        <v>1</v>
      </c>
    </row>
    <row r="667" spans="1:3">
      <c r="A667" s="2">
        <v>-72317.850000000006</v>
      </c>
      <c r="B667" s="47">
        <f t="shared" ref="B667:B673" si="16">+B666+A667</f>
        <v>-110877.18000000001</v>
      </c>
      <c r="C667" s="13"/>
    </row>
    <row r="668" spans="1:3">
      <c r="A668" s="2">
        <v>72320.990000000005</v>
      </c>
      <c r="B668" s="47">
        <f t="shared" si="16"/>
        <v>-38556.19</v>
      </c>
      <c r="C668" s="14">
        <v>3.14</v>
      </c>
    </row>
    <row r="669" spans="1:3">
      <c r="A669" s="2">
        <v>-72341</v>
      </c>
      <c r="B669" s="47">
        <f t="shared" si="16"/>
        <v>-110897.19</v>
      </c>
      <c r="C669" s="13"/>
    </row>
    <row r="670" spans="1:3">
      <c r="A670" s="2">
        <v>2893.56</v>
      </c>
      <c r="B670" s="47">
        <f t="shared" si="16"/>
        <v>-108003.63</v>
      </c>
      <c r="C670" s="13"/>
    </row>
    <row r="671" spans="1:3">
      <c r="A671" s="2">
        <v>69445.05</v>
      </c>
      <c r="B671" s="47">
        <f t="shared" si="16"/>
        <v>-38558.58</v>
      </c>
      <c r="C671" s="15">
        <v>-2.39</v>
      </c>
    </row>
    <row r="672" spans="1:3">
      <c r="A672" s="2">
        <v>-72220</v>
      </c>
      <c r="B672" s="47">
        <f t="shared" si="16"/>
        <v>-110778.58</v>
      </c>
      <c r="C672" s="13"/>
    </row>
    <row r="673" spans="1:3">
      <c r="A673" s="2">
        <v>72248.400000000009</v>
      </c>
      <c r="B673" s="47">
        <f t="shared" si="16"/>
        <v>-38530.179999999993</v>
      </c>
      <c r="C673" s="14">
        <v>28.4</v>
      </c>
    </row>
    <row r="674" spans="1:3">
      <c r="A674" s="2"/>
      <c r="B674" s="50" t="s">
        <v>2</v>
      </c>
      <c r="C674" s="49">
        <f>SUM(C667:C673)</f>
        <v>29.15</v>
      </c>
    </row>
    <row r="675" spans="1:3">
      <c r="A675" s="2"/>
      <c r="B675" s="50" t="s">
        <v>3</v>
      </c>
      <c r="C675" s="49">
        <f>+B673-B666</f>
        <v>29.150000000008731</v>
      </c>
    </row>
    <row r="676" spans="1:3">
      <c r="A676" s="5"/>
      <c r="B676" s="47"/>
      <c r="C676" s="41"/>
    </row>
    <row r="677" spans="1:3">
      <c r="A677" s="41" t="s">
        <v>65</v>
      </c>
      <c r="B677" s="50" t="s">
        <v>5</v>
      </c>
      <c r="C677" s="50">
        <f>SUMIF(A667:A673,"&lt;0")</f>
        <v>-216878.85</v>
      </c>
    </row>
    <row r="678" spans="1:3">
      <c r="A678" s="41" t="str">
        <f>"SPY " &amp; COUNT(C667:C673) * 100 &amp; "股"</f>
        <v>SPY 300股</v>
      </c>
      <c r="B678" s="50" t="s">
        <v>6</v>
      </c>
      <c r="C678" s="50">
        <f>SUMIF(A667:A673,"&gt;0")</f>
        <v>216908</v>
      </c>
    </row>
    <row r="679" spans="1:3" ht="17.25" customHeight="1" thickBot="1">
      <c r="A679" s="46"/>
      <c r="B679" s="50" t="s">
        <v>7</v>
      </c>
      <c r="C679" s="51">
        <f>+C677+C678</f>
        <v>29.149999999994179</v>
      </c>
    </row>
    <row r="680" spans="1:3" ht="17.25" customHeight="1" thickTop="1">
      <c r="A680" s="46"/>
      <c r="B680" s="50" t="s">
        <v>8</v>
      </c>
      <c r="C680" s="36">
        <f>C679/ABS(C677)</f>
        <v>1.3440683589014871E-4</v>
      </c>
    </row>
    <row r="681" spans="1:3">
      <c r="A681" s="5"/>
      <c r="B681" s="41"/>
      <c r="C681" s="41"/>
    </row>
    <row r="682" spans="1:3">
      <c r="A682" s="5"/>
      <c r="B682" s="41"/>
      <c r="C682" s="41"/>
    </row>
    <row r="683" spans="1:3">
      <c r="A683" s="5"/>
      <c r="B683" s="41"/>
      <c r="C683" s="41"/>
    </row>
    <row r="684" spans="1:3">
      <c r="A684" s="5"/>
      <c r="B684" s="41"/>
      <c r="C684" s="41"/>
    </row>
    <row r="685" spans="1:3" ht="30" customHeight="1">
      <c r="A685" s="46" t="s">
        <v>69</v>
      </c>
      <c r="B685" s="2">
        <v>103769.7</v>
      </c>
      <c r="C685" s="48" t="s">
        <v>1</v>
      </c>
    </row>
    <row r="686" spans="1:3">
      <c r="A686" s="2">
        <v>72035.5</v>
      </c>
      <c r="B686" s="47">
        <f t="shared" ref="B686:B705" si="17">+B685+A686</f>
        <v>175805.2</v>
      </c>
      <c r="C686" s="41"/>
    </row>
    <row r="687" spans="1:3">
      <c r="A687" s="2">
        <v>-72099.429999999993</v>
      </c>
      <c r="B687" s="47">
        <f t="shared" si="17"/>
        <v>103705.77000000002</v>
      </c>
      <c r="C687" s="15">
        <v>-63.93</v>
      </c>
    </row>
    <row r="688" spans="1:3">
      <c r="A688" s="2">
        <v>72125.5</v>
      </c>
      <c r="B688" s="47">
        <f t="shared" si="17"/>
        <v>175831.27000000002</v>
      </c>
      <c r="C688" s="13"/>
    </row>
    <row r="689" spans="1:3">
      <c r="A689" s="2">
        <v>-72137</v>
      </c>
      <c r="B689" s="47">
        <f t="shared" si="17"/>
        <v>103694.27000000002</v>
      </c>
      <c r="C689" s="15">
        <v>-11.5</v>
      </c>
    </row>
    <row r="690" spans="1:3">
      <c r="A690" s="2">
        <v>72122.590000000011</v>
      </c>
      <c r="B690" s="47">
        <f t="shared" si="17"/>
        <v>175816.86000000004</v>
      </c>
      <c r="C690" s="13"/>
    </row>
    <row r="691" spans="1:3">
      <c r="A691" s="2">
        <v>-72184</v>
      </c>
      <c r="B691" s="47">
        <f t="shared" si="17"/>
        <v>103632.86000000004</v>
      </c>
      <c r="C691" s="15">
        <v>-61.41</v>
      </c>
    </row>
    <row r="692" spans="1:3">
      <c r="A692" s="2">
        <v>-72197.5</v>
      </c>
      <c r="B692" s="47">
        <f t="shared" si="17"/>
        <v>31435.360000000044</v>
      </c>
      <c r="C692" s="13"/>
    </row>
    <row r="693" spans="1:3">
      <c r="A693" s="2">
        <v>14439.3</v>
      </c>
      <c r="B693" s="47">
        <f t="shared" si="17"/>
        <v>45874.660000000047</v>
      </c>
      <c r="C693" s="13"/>
    </row>
    <row r="694" spans="1:3">
      <c r="A694" s="2">
        <v>57756.79</v>
      </c>
      <c r="B694" s="47">
        <f t="shared" si="17"/>
        <v>103631.45000000004</v>
      </c>
      <c r="C694" s="15">
        <v>-1.41</v>
      </c>
    </row>
    <row r="695" spans="1:3">
      <c r="A695" s="2">
        <v>-43998.38</v>
      </c>
      <c r="B695" s="47">
        <f t="shared" si="17"/>
        <v>59633.070000000043</v>
      </c>
      <c r="C695" s="13"/>
    </row>
    <row r="696" spans="1:3">
      <c r="A696" s="2">
        <v>-28130.11</v>
      </c>
      <c r="B696" s="47">
        <f t="shared" si="17"/>
        <v>31502.960000000043</v>
      </c>
      <c r="C696" s="13"/>
    </row>
    <row r="697" spans="1:3">
      <c r="A697" s="2">
        <v>-28814</v>
      </c>
      <c r="B697" s="47">
        <f t="shared" si="17"/>
        <v>2688.9600000000428</v>
      </c>
      <c r="C697" s="13"/>
    </row>
    <row r="698" spans="1:3">
      <c r="A698" s="2">
        <v>-43220.99</v>
      </c>
      <c r="B698" s="47">
        <f t="shared" si="17"/>
        <v>-40532.029999999955</v>
      </c>
      <c r="C698" s="13"/>
    </row>
    <row r="699" spans="1:3">
      <c r="A699" s="2">
        <v>-71790.41</v>
      </c>
      <c r="B699" s="47">
        <f t="shared" si="17"/>
        <v>-112322.43999999996</v>
      </c>
      <c r="C699" s="13"/>
    </row>
    <row r="700" spans="1:3">
      <c r="A700" s="2">
        <v>71834.509999999995</v>
      </c>
      <c r="B700" s="47">
        <f t="shared" si="17"/>
        <v>-40487.929999999964</v>
      </c>
      <c r="C700" s="14">
        <v>44.1</v>
      </c>
    </row>
    <row r="701" spans="1:3">
      <c r="A701" s="2">
        <v>-71822</v>
      </c>
      <c r="B701" s="47">
        <f t="shared" si="17"/>
        <v>-112309.92999999996</v>
      </c>
      <c r="C701" s="13"/>
    </row>
    <row r="702" spans="1:3">
      <c r="A702" s="2">
        <v>28727.8</v>
      </c>
      <c r="B702" s="47">
        <f t="shared" si="17"/>
        <v>-83582.129999999961</v>
      </c>
      <c r="C702" s="13"/>
    </row>
    <row r="703" spans="1:3">
      <c r="A703" s="2">
        <v>43090.559999999998</v>
      </c>
      <c r="B703" s="47">
        <f t="shared" si="17"/>
        <v>-40491.569999999963</v>
      </c>
      <c r="C703" s="15">
        <v>-3.64</v>
      </c>
    </row>
    <row r="704" spans="1:3">
      <c r="A704" s="2">
        <v>-71774.55</v>
      </c>
      <c r="B704" s="47">
        <f t="shared" si="17"/>
        <v>-112266.11999999997</v>
      </c>
      <c r="C704" s="13"/>
    </row>
    <row r="705" spans="1:3">
      <c r="A705" s="2">
        <v>71793.58</v>
      </c>
      <c r="B705" s="47">
        <f t="shared" si="17"/>
        <v>-40472.539999999964</v>
      </c>
      <c r="C705" s="14">
        <v>19.03</v>
      </c>
    </row>
    <row r="706" spans="1:3">
      <c r="A706" s="2"/>
      <c r="B706" s="50" t="s">
        <v>2</v>
      </c>
      <c r="C706" s="49">
        <f>SUM(C686:C705)</f>
        <v>-78.760000000000005</v>
      </c>
    </row>
    <row r="707" spans="1:3">
      <c r="A707" s="2"/>
      <c r="B707" s="50" t="s">
        <v>3</v>
      </c>
      <c r="C707" s="49">
        <f>+B705-B685+B694-B698</f>
        <v>-78.759999999965657</v>
      </c>
    </row>
    <row r="708" spans="1:3">
      <c r="A708" s="5"/>
      <c r="B708" s="47"/>
      <c r="C708" s="41"/>
    </row>
    <row r="709" spans="1:3">
      <c r="A709" s="41" t="s">
        <v>70</v>
      </c>
      <c r="B709" s="50" t="s">
        <v>5</v>
      </c>
      <c r="C709" s="50">
        <f>SUMIF(A686:A705,"&lt;0")-A695-A696-A697-A698</f>
        <v>-504004.89</v>
      </c>
    </row>
    <row r="710" spans="1:3">
      <c r="A710" s="41" t="str">
        <f>"SPY " &amp; COUNT(C686:C705) * 100 &amp; "股"</f>
        <v>SPY 700股</v>
      </c>
      <c r="B710" s="50" t="s">
        <v>6</v>
      </c>
      <c r="C710" s="50">
        <f>SUMIF(A686:A705,"&gt;0")</f>
        <v>503926.13</v>
      </c>
    </row>
    <row r="711" spans="1:3" ht="17.25" customHeight="1" thickBot="1">
      <c r="A711" s="46"/>
      <c r="B711" s="50" t="s">
        <v>7</v>
      </c>
      <c r="C711" s="51">
        <f>+C709+C710</f>
        <v>-78.760000000009313</v>
      </c>
    </row>
    <row r="712" spans="1:3" ht="17.25" customHeight="1" thickTop="1">
      <c r="A712" s="46"/>
      <c r="B712" s="50" t="s">
        <v>8</v>
      </c>
      <c r="C712" s="36">
        <f>C711/ABS(C709)</f>
        <v>-1.5626832509503888E-4</v>
      </c>
    </row>
    <row r="713" spans="1:3">
      <c r="A713" s="5"/>
      <c r="B713" s="41"/>
      <c r="C713" s="41"/>
    </row>
    <row r="714" spans="1:3">
      <c r="A714" s="41" t="s">
        <v>10</v>
      </c>
      <c r="B714" s="41"/>
      <c r="C714" s="41"/>
    </row>
    <row r="715" spans="1:3">
      <c r="A715" s="41" t="s">
        <v>71</v>
      </c>
      <c r="B715" s="41" t="s">
        <v>12</v>
      </c>
      <c r="C715" s="50">
        <f>A695+A696</f>
        <v>-72128.489999999991</v>
      </c>
    </row>
    <row r="716" spans="1:3">
      <c r="A716" s="41" t="s">
        <v>71</v>
      </c>
      <c r="B716" s="41" t="s">
        <v>12</v>
      </c>
      <c r="C716" s="50">
        <f>A697+A698</f>
        <v>-72034.989999999991</v>
      </c>
    </row>
    <row r="717" spans="1:3">
      <c r="A717" s="5"/>
      <c r="B717" s="41"/>
      <c r="C717" s="41"/>
    </row>
    <row r="718" spans="1:3">
      <c r="A718" s="5"/>
      <c r="B718" s="41"/>
      <c r="C718" s="41"/>
    </row>
    <row r="719" spans="1:3">
      <c r="A719" s="5"/>
      <c r="B719" s="41"/>
      <c r="C719" s="41"/>
    </row>
    <row r="720" spans="1:3">
      <c r="A720" s="5"/>
      <c r="B720" s="41"/>
      <c r="C720" s="41"/>
    </row>
    <row r="721" spans="1:3" ht="30" customHeight="1">
      <c r="A721" s="46" t="s">
        <v>69</v>
      </c>
      <c r="B721" s="2">
        <v>103798.85</v>
      </c>
      <c r="C721" s="48" t="s">
        <v>1</v>
      </c>
    </row>
    <row r="722" spans="1:3">
      <c r="A722" s="2">
        <v>72261.490000000005</v>
      </c>
      <c r="B722" s="47">
        <f t="shared" ref="B722:B733" si="18">+B721+A722</f>
        <v>176060.34000000003</v>
      </c>
      <c r="C722" s="21">
        <v>226.5</v>
      </c>
    </row>
    <row r="723" spans="1:3">
      <c r="A723" s="2">
        <v>11561.76</v>
      </c>
      <c r="B723" s="47">
        <f t="shared" si="18"/>
        <v>187622.10000000003</v>
      </c>
      <c r="C723" s="22"/>
    </row>
    <row r="724" spans="1:3">
      <c r="A724" s="2">
        <v>60699.23</v>
      </c>
      <c r="B724" s="47">
        <f t="shared" si="18"/>
        <v>248321.33000000005</v>
      </c>
      <c r="C724" s="23">
        <v>132.5</v>
      </c>
    </row>
    <row r="725" spans="1:3">
      <c r="A725" s="2">
        <v>-72357.5</v>
      </c>
      <c r="B725" s="47">
        <f t="shared" si="18"/>
        <v>175963.83000000005</v>
      </c>
      <c r="C725" s="13"/>
    </row>
    <row r="726" spans="1:3">
      <c r="A726" s="2">
        <v>72360.55</v>
      </c>
      <c r="B726" s="47">
        <f t="shared" si="18"/>
        <v>248324.38000000006</v>
      </c>
      <c r="C726" s="14">
        <v>3.05</v>
      </c>
    </row>
    <row r="727" spans="1:3">
      <c r="A727" s="2">
        <v>-28924.400000000001</v>
      </c>
      <c r="B727" s="47">
        <f t="shared" si="18"/>
        <v>219399.98000000007</v>
      </c>
      <c r="C727" s="13"/>
    </row>
    <row r="728" spans="1:3">
      <c r="A728" s="2">
        <v>-43386.6</v>
      </c>
      <c r="B728" s="47">
        <f t="shared" si="18"/>
        <v>176013.38000000006</v>
      </c>
      <c r="C728" s="13"/>
    </row>
    <row r="729" spans="1:3">
      <c r="A729" s="2">
        <v>28926.59</v>
      </c>
      <c r="B729" s="47">
        <f t="shared" si="18"/>
        <v>204939.97000000006</v>
      </c>
      <c r="C729" s="13"/>
    </row>
    <row r="730" spans="1:3">
      <c r="A730" s="2">
        <v>28926.2</v>
      </c>
      <c r="B730" s="47">
        <f t="shared" si="18"/>
        <v>233866.17000000007</v>
      </c>
      <c r="C730" s="13"/>
    </row>
    <row r="731" spans="1:3">
      <c r="A731" s="2">
        <v>14463.32</v>
      </c>
      <c r="B731" s="47">
        <f t="shared" si="18"/>
        <v>248329.49000000008</v>
      </c>
      <c r="C731" s="14">
        <v>5.1100000000000003</v>
      </c>
    </row>
    <row r="732" spans="1:3">
      <c r="A732" s="2">
        <v>-35538</v>
      </c>
      <c r="B732" s="47">
        <f t="shared" si="18"/>
        <v>212791.49000000008</v>
      </c>
      <c r="C732" s="13"/>
    </row>
    <row r="733" spans="1:3">
      <c r="A733" s="2">
        <v>35479.26</v>
      </c>
      <c r="B733" s="47">
        <f t="shared" si="18"/>
        <v>248270.75000000009</v>
      </c>
      <c r="C733" s="15">
        <v>-58.74</v>
      </c>
    </row>
    <row r="734" spans="1:3">
      <c r="A734" s="2"/>
      <c r="B734" s="50" t="s">
        <v>2</v>
      </c>
      <c r="C734" s="49">
        <f>SUM(C725:C731)</f>
        <v>8.16</v>
      </c>
    </row>
    <row r="735" spans="1:3">
      <c r="A735" s="2"/>
      <c r="B735" s="50" t="s">
        <v>3</v>
      </c>
      <c r="C735" s="49">
        <f>+B731-B724</f>
        <v>8.1600000000325963</v>
      </c>
    </row>
    <row r="736" spans="1:3">
      <c r="A736" s="5"/>
      <c r="B736" s="47"/>
      <c r="C736" s="41"/>
    </row>
    <row r="737" spans="1:3">
      <c r="A737" s="41" t="s">
        <v>72</v>
      </c>
      <c r="B737" s="50" t="s">
        <v>5</v>
      </c>
      <c r="C737" s="50">
        <f>SUMIF(A725:A731,"&lt;0")</f>
        <v>-144668.5</v>
      </c>
    </row>
    <row r="738" spans="1:3">
      <c r="A738" s="41" t="str">
        <f>"SPY " &amp; COUNT(C725:C731) * 100 &amp; "股"</f>
        <v>SPY 200股</v>
      </c>
      <c r="B738" s="50" t="s">
        <v>6</v>
      </c>
      <c r="C738" s="50">
        <f>SUMIF(A725:A731,"&gt;0")</f>
        <v>144676.66</v>
      </c>
    </row>
    <row r="739" spans="1:3" ht="17.25" customHeight="1" thickBot="1">
      <c r="A739" s="46"/>
      <c r="B739" s="50" t="s">
        <v>7</v>
      </c>
      <c r="C739" s="51">
        <f>+C737+C738</f>
        <v>8.1600000000034925</v>
      </c>
    </row>
    <row r="740" spans="1:3" ht="17.25" customHeight="1" thickTop="1">
      <c r="A740" s="46"/>
      <c r="B740" s="50" t="s">
        <v>8</v>
      </c>
      <c r="C740" s="36">
        <f>C739/ABS(C737)</f>
        <v>5.6404815146375974E-5</v>
      </c>
    </row>
    <row r="741" spans="1:3">
      <c r="A741" s="5"/>
      <c r="B741" s="41"/>
      <c r="C741" s="41"/>
    </row>
    <row r="742" spans="1:3">
      <c r="A742" s="41" t="s">
        <v>73</v>
      </c>
      <c r="B742" s="50" t="s">
        <v>55</v>
      </c>
      <c r="C742" s="50">
        <f>C716</f>
        <v>-72034.989999999991</v>
      </c>
    </row>
    <row r="743" spans="1:3">
      <c r="A743" s="41" t="s">
        <v>74</v>
      </c>
      <c r="B743" s="50" t="s">
        <v>55</v>
      </c>
      <c r="C743" s="50">
        <f>A722</f>
        <v>72261.490000000005</v>
      </c>
    </row>
    <row r="744" spans="1:3" ht="17.25" customHeight="1" thickBot="1">
      <c r="A744" s="46"/>
      <c r="B744" s="50" t="s">
        <v>33</v>
      </c>
      <c r="C744" s="51">
        <f>+C742+C743</f>
        <v>226.50000000001455</v>
      </c>
    </row>
    <row r="745" spans="1:3" ht="17.25" customHeight="1" thickTop="1">
      <c r="A745" s="46"/>
      <c r="B745" s="50" t="s">
        <v>34</v>
      </c>
      <c r="C745" s="36">
        <f>C744/ABS(C742)</f>
        <v>3.144305288305233E-3</v>
      </c>
    </row>
    <row r="746" spans="1:3">
      <c r="A746" s="41"/>
      <c r="B746" s="41"/>
      <c r="C746" s="41"/>
    </row>
    <row r="747" spans="1:3">
      <c r="A747" s="41" t="s">
        <v>73</v>
      </c>
      <c r="B747" s="50" t="s">
        <v>55</v>
      </c>
      <c r="C747" s="50">
        <f>C715</f>
        <v>-72128.489999999991</v>
      </c>
    </row>
    <row r="748" spans="1:3">
      <c r="A748" s="41" t="s">
        <v>74</v>
      </c>
      <c r="B748" s="50" t="s">
        <v>55</v>
      </c>
      <c r="C748" s="50">
        <f>A723+A724</f>
        <v>72260.990000000005</v>
      </c>
    </row>
    <row r="749" spans="1:3" ht="17.25" customHeight="1" thickBot="1">
      <c r="A749" s="46"/>
      <c r="B749" s="50" t="s">
        <v>33</v>
      </c>
      <c r="C749" s="51">
        <f>+C747+C748</f>
        <v>132.50000000001455</v>
      </c>
    </row>
    <row r="750" spans="1:3" ht="17.25" customHeight="1" thickTop="1">
      <c r="A750" s="46"/>
      <c r="B750" s="50" t="s">
        <v>34</v>
      </c>
      <c r="C750" s="36">
        <f>C749/ABS(C747)</f>
        <v>1.8369994990885649E-3</v>
      </c>
    </row>
    <row r="751" spans="1:3">
      <c r="A751" s="5"/>
      <c r="B751" s="41"/>
      <c r="C751" s="41"/>
    </row>
    <row r="752" spans="1:3">
      <c r="A752" s="41" t="s">
        <v>75</v>
      </c>
      <c r="B752" s="50" t="s">
        <v>5</v>
      </c>
      <c r="C752" s="50">
        <f>A732</f>
        <v>-35538</v>
      </c>
    </row>
    <row r="753" spans="1:3">
      <c r="A753" s="41" t="str">
        <f>"AMD " &amp; COUNT(C741:C742) * 100 &amp; "股"</f>
        <v>AMD 100股</v>
      </c>
      <c r="B753" s="50" t="s">
        <v>6</v>
      </c>
      <c r="C753" s="50">
        <f>A733</f>
        <v>35479.26</v>
      </c>
    </row>
    <row r="754" spans="1:3" ht="17.25" customHeight="1" thickBot="1">
      <c r="A754" s="46"/>
      <c r="B754" s="50" t="s">
        <v>7</v>
      </c>
      <c r="C754" s="51">
        <f>+C752+C753</f>
        <v>-58.739999999997963</v>
      </c>
    </row>
    <row r="755" spans="1:3" ht="17.25" customHeight="1" thickTop="1">
      <c r="A755" s="46"/>
      <c r="B755" s="50" t="s">
        <v>8</v>
      </c>
      <c r="C755" s="36">
        <f>C754/ABS(C752)</f>
        <v>-1.6528786088130442E-3</v>
      </c>
    </row>
    <row r="756" spans="1:3">
      <c r="A756" s="5"/>
      <c r="B756" s="41"/>
      <c r="C756" s="41"/>
    </row>
    <row r="757" spans="1:3">
      <c r="A757" s="5"/>
      <c r="B757" s="41"/>
      <c r="C757" s="41"/>
    </row>
    <row r="758" spans="1:3">
      <c r="A758" s="5"/>
      <c r="B758" s="41"/>
      <c r="C758" s="41"/>
    </row>
    <row r="759" spans="1:3" ht="30" customHeight="1">
      <c r="A759" s="46" t="s">
        <v>76</v>
      </c>
      <c r="B759" s="41"/>
      <c r="C759" s="41"/>
    </row>
    <row r="760" spans="1:3">
      <c r="A760" s="12" t="s">
        <v>44</v>
      </c>
      <c r="B760" s="41"/>
      <c r="C760" s="41"/>
    </row>
    <row r="761" spans="1:3">
      <c r="A761" s="5"/>
      <c r="B761" s="41"/>
      <c r="C761" s="41"/>
    </row>
    <row r="762" spans="1:3">
      <c r="A762" s="5"/>
      <c r="B762" s="41"/>
      <c r="C762" s="41"/>
    </row>
    <row r="763" spans="1:3">
      <c r="A763" s="5"/>
      <c r="B763" s="41"/>
      <c r="C763" s="41"/>
    </row>
    <row r="764" spans="1:3">
      <c r="A764" s="5"/>
      <c r="B764" s="41"/>
      <c r="C764" s="41"/>
    </row>
    <row r="765" spans="1:3">
      <c r="A765" s="5"/>
      <c r="B765" s="41"/>
      <c r="C765" s="41"/>
    </row>
    <row r="766" spans="1:3" ht="30" customHeight="1">
      <c r="A766" s="46" t="s">
        <v>77</v>
      </c>
      <c r="B766" s="2">
        <v>104028.51</v>
      </c>
      <c r="C766" s="48" t="s">
        <v>1</v>
      </c>
    </row>
    <row r="767" spans="1:3">
      <c r="A767" s="24">
        <v>-29373.200000000001</v>
      </c>
      <c r="B767" s="47">
        <f t="shared" ref="B767:B782" si="19">+B766+A767</f>
        <v>74655.31</v>
      </c>
      <c r="C767" s="41"/>
    </row>
    <row r="768" spans="1:3">
      <c r="A768" s="24">
        <v>-44059.8</v>
      </c>
      <c r="B768" s="47">
        <f t="shared" si="19"/>
        <v>30595.509999999995</v>
      </c>
      <c r="C768" s="41"/>
    </row>
    <row r="769" spans="1:3">
      <c r="A769" s="24">
        <v>73473.61</v>
      </c>
      <c r="B769" s="47">
        <f t="shared" si="19"/>
        <v>104069.12</v>
      </c>
      <c r="C769" s="41">
        <v>40.61</v>
      </c>
    </row>
    <row r="770" spans="1:3">
      <c r="A770" s="24">
        <v>-36739.25</v>
      </c>
      <c r="B770" s="47">
        <f t="shared" si="19"/>
        <v>67329.87</v>
      </c>
      <c r="C770" s="41"/>
    </row>
    <row r="771" spans="1:3">
      <c r="A771" s="24">
        <v>-36739.25</v>
      </c>
      <c r="B771" s="47">
        <f t="shared" si="19"/>
        <v>30590.619999999995</v>
      </c>
      <c r="C771" s="41"/>
    </row>
    <row r="772" spans="1:3">
      <c r="A772" s="24">
        <v>2939.12</v>
      </c>
      <c r="B772" s="47">
        <f t="shared" si="19"/>
        <v>33529.74</v>
      </c>
      <c r="C772" s="41"/>
    </row>
    <row r="773" spans="1:3">
      <c r="A773" s="24">
        <v>70538.86</v>
      </c>
      <c r="B773" s="47">
        <f t="shared" si="19"/>
        <v>104068.6</v>
      </c>
      <c r="C773" s="41">
        <v>-0.52</v>
      </c>
    </row>
    <row r="774" spans="1:3">
      <c r="A774" s="24">
        <v>-29409.200000000001</v>
      </c>
      <c r="B774" s="47">
        <f t="shared" si="19"/>
        <v>74659.400000000009</v>
      </c>
      <c r="C774" s="41"/>
    </row>
    <row r="775" spans="1:3">
      <c r="A775" s="24">
        <v>-44113.79</v>
      </c>
      <c r="B775" s="47">
        <f t="shared" si="19"/>
        <v>30545.610000000008</v>
      </c>
      <c r="C775" s="41"/>
    </row>
    <row r="776" spans="1:3">
      <c r="A776" s="24">
        <v>73543.960000000006</v>
      </c>
      <c r="B776" s="47">
        <f t="shared" si="19"/>
        <v>104089.57</v>
      </c>
      <c r="C776" s="41">
        <v>20.97</v>
      </c>
    </row>
    <row r="777" spans="1:3">
      <c r="A777" s="24">
        <v>-73550.990000000005</v>
      </c>
      <c r="B777" s="47">
        <f t="shared" si="19"/>
        <v>30538.58</v>
      </c>
      <c r="C777" s="41"/>
    </row>
    <row r="778" spans="1:3">
      <c r="A778" s="2">
        <v>-43913.99</v>
      </c>
      <c r="B778" s="47">
        <f t="shared" si="19"/>
        <v>-13375.409999999996</v>
      </c>
      <c r="C778" s="13"/>
    </row>
    <row r="779" spans="1:3">
      <c r="A779" s="2">
        <v>-29276</v>
      </c>
      <c r="B779" s="47">
        <f t="shared" si="19"/>
        <v>-42651.409999999996</v>
      </c>
      <c r="C779" s="13"/>
    </row>
    <row r="780" spans="1:3">
      <c r="A780" s="2">
        <v>73367.47</v>
      </c>
      <c r="B780" s="47">
        <f t="shared" si="19"/>
        <v>30716.060000000005</v>
      </c>
      <c r="C780" s="14">
        <v>177.48</v>
      </c>
    </row>
    <row r="781" spans="1:3">
      <c r="A781" s="2">
        <v>73367.47</v>
      </c>
      <c r="B781" s="47">
        <f t="shared" si="19"/>
        <v>104083.53</v>
      </c>
      <c r="C781" s="15">
        <v>-183.52</v>
      </c>
    </row>
    <row r="782" spans="1:3">
      <c r="A782" s="25">
        <v>-73257.5</v>
      </c>
      <c r="B782" s="56">
        <f t="shared" si="19"/>
        <v>30826.03</v>
      </c>
      <c r="C782" s="26"/>
    </row>
    <row r="783" spans="1:3">
      <c r="A783" s="2"/>
      <c r="B783" s="50" t="s">
        <v>2</v>
      </c>
      <c r="C783" s="49">
        <f>SUM(C767:C782)</f>
        <v>55.019999999999982</v>
      </c>
    </row>
    <row r="784" spans="1:3">
      <c r="A784" s="2"/>
      <c r="B784" s="50" t="s">
        <v>3</v>
      </c>
      <c r="C784" s="49">
        <f>+B781-B766</f>
        <v>55.020000000004075</v>
      </c>
    </row>
    <row r="785" spans="1:3">
      <c r="A785" s="5"/>
      <c r="B785" s="47"/>
      <c r="C785" s="41"/>
    </row>
    <row r="786" spans="1:3">
      <c r="A786" s="41" t="s">
        <v>78</v>
      </c>
      <c r="B786" s="50" t="s">
        <v>5</v>
      </c>
      <c r="C786" s="50">
        <f>SUMIF(A767:A781,"&lt;0")</f>
        <v>-367175.47000000003</v>
      </c>
    </row>
    <row r="787" spans="1:3">
      <c r="A787" s="41" t="str">
        <f>"SPY " &amp; COUNT(C767:C781) * 100 &amp; "股"</f>
        <v>SPY 500股</v>
      </c>
      <c r="B787" s="50" t="s">
        <v>6</v>
      </c>
      <c r="C787" s="50">
        <f>SUMIF(A767:A781,"&gt;0")</f>
        <v>367230.49</v>
      </c>
    </row>
    <row r="788" spans="1:3" ht="17.25" customHeight="1" thickBot="1">
      <c r="A788" s="46"/>
      <c r="B788" s="50" t="s">
        <v>7</v>
      </c>
      <c r="C788" s="51">
        <f>+C786+C787</f>
        <v>55.019999999960419</v>
      </c>
    </row>
    <row r="789" spans="1:3" ht="17.25" customHeight="1" thickTop="1">
      <c r="A789" s="46"/>
      <c r="B789" s="50" t="s">
        <v>8</v>
      </c>
      <c r="C789" s="36">
        <f>C788/ABS(C786)</f>
        <v>1.4984661148513111E-4</v>
      </c>
    </row>
    <row r="790" spans="1:3">
      <c r="A790" s="5"/>
      <c r="B790" s="41"/>
      <c r="C790" s="41"/>
    </row>
    <row r="791" spans="1:3">
      <c r="A791" s="41" t="s">
        <v>79</v>
      </c>
      <c r="B791" s="41"/>
      <c r="C791" s="41"/>
    </row>
    <row r="792" spans="1:3">
      <c r="A792" s="41" t="s">
        <v>80</v>
      </c>
      <c r="B792" s="41" t="s">
        <v>12</v>
      </c>
      <c r="C792" s="50">
        <f>A782</f>
        <v>-73257.5</v>
      </c>
    </row>
    <row r="793" spans="1:3">
      <c r="A793" s="5"/>
      <c r="B793" s="41"/>
      <c r="C793" s="41"/>
    </row>
    <row r="794" spans="1:3">
      <c r="A794" s="5"/>
      <c r="B794" s="41"/>
      <c r="C794" s="41"/>
    </row>
    <row r="795" spans="1:3" ht="30" customHeight="1">
      <c r="A795" s="46" t="s">
        <v>81</v>
      </c>
      <c r="B795" s="2">
        <v>104028.51</v>
      </c>
      <c r="C795" s="48" t="s">
        <v>1</v>
      </c>
    </row>
    <row r="796" spans="1:3">
      <c r="A796" s="27">
        <v>73514.97</v>
      </c>
      <c r="B796" s="57">
        <f t="shared" ref="B796:B810" si="20">+B795+A796</f>
        <v>177543.47999999998</v>
      </c>
      <c r="C796" s="28">
        <v>257.47000000000003</v>
      </c>
    </row>
    <row r="797" spans="1:3">
      <c r="A797" s="24">
        <v>-73517</v>
      </c>
      <c r="B797" s="47">
        <f t="shared" si="20"/>
        <v>104026.47999999998</v>
      </c>
      <c r="C797" s="41"/>
    </row>
    <row r="798" spans="1:3">
      <c r="A798" s="24">
        <v>67724.899999999994</v>
      </c>
      <c r="B798" s="47">
        <f t="shared" si="20"/>
        <v>171751.37999999998</v>
      </c>
      <c r="C798" s="41"/>
    </row>
    <row r="799" spans="1:3">
      <c r="A799" s="24">
        <v>5889.12</v>
      </c>
      <c r="B799" s="47">
        <f t="shared" si="20"/>
        <v>177640.49999999997</v>
      </c>
      <c r="C799" s="41">
        <v>97.02</v>
      </c>
    </row>
    <row r="800" spans="1:3">
      <c r="A800" s="24">
        <v>-73668</v>
      </c>
      <c r="B800" s="47">
        <f t="shared" si="20"/>
        <v>103972.49999999997</v>
      </c>
      <c r="C800" s="41"/>
    </row>
    <row r="801" spans="1:3">
      <c r="A801" s="24">
        <v>73716.460000000006</v>
      </c>
      <c r="B801" s="47">
        <f t="shared" si="20"/>
        <v>177688.95999999996</v>
      </c>
      <c r="C801" s="41">
        <v>48.46</v>
      </c>
    </row>
    <row r="802" spans="1:3">
      <c r="A802" s="24">
        <v>-73716.72</v>
      </c>
      <c r="B802" s="47">
        <f t="shared" si="20"/>
        <v>103972.23999999996</v>
      </c>
      <c r="C802" s="41"/>
    </row>
    <row r="803" spans="1:3">
      <c r="A803" s="24">
        <v>73721.960000000006</v>
      </c>
      <c r="B803" s="47">
        <f t="shared" si="20"/>
        <v>177694.19999999995</v>
      </c>
      <c r="C803" s="41">
        <v>5.24</v>
      </c>
    </row>
    <row r="804" spans="1:3">
      <c r="A804" s="24">
        <v>-73674.5</v>
      </c>
      <c r="B804" s="47">
        <f t="shared" si="20"/>
        <v>104019.69999999995</v>
      </c>
      <c r="C804" s="41"/>
    </row>
    <row r="805" spans="1:3">
      <c r="A805" s="24">
        <v>73638.759999999995</v>
      </c>
      <c r="B805" s="47">
        <f t="shared" si="20"/>
        <v>177658.45999999996</v>
      </c>
      <c r="C805" s="41">
        <v>-35.74</v>
      </c>
    </row>
    <row r="806" spans="1:3">
      <c r="A806" s="24">
        <v>-73626</v>
      </c>
      <c r="B806" s="47">
        <f t="shared" si="20"/>
        <v>104032.45999999996</v>
      </c>
      <c r="C806" s="41"/>
    </row>
    <row r="807" spans="1:3">
      <c r="A807" s="24">
        <v>73642.960000000006</v>
      </c>
      <c r="B807" s="47">
        <f t="shared" si="20"/>
        <v>177675.41999999998</v>
      </c>
      <c r="C807" s="41">
        <v>16.96</v>
      </c>
    </row>
    <row r="808" spans="1:3">
      <c r="A808" s="24">
        <v>-73719.5</v>
      </c>
      <c r="B808" s="47">
        <f t="shared" si="20"/>
        <v>103955.91999999998</v>
      </c>
      <c r="C808" s="41"/>
    </row>
    <row r="809" spans="1:3">
      <c r="A809" s="24">
        <v>44231.08</v>
      </c>
      <c r="B809" s="47">
        <f t="shared" si="20"/>
        <v>148187</v>
      </c>
      <c r="C809" s="41"/>
    </row>
    <row r="810" spans="1:3">
      <c r="A810" s="24">
        <v>29487.38</v>
      </c>
      <c r="B810" s="47">
        <f t="shared" si="20"/>
        <v>177674.38</v>
      </c>
      <c r="C810" s="41">
        <v>-1.04</v>
      </c>
    </row>
    <row r="811" spans="1:3">
      <c r="A811" s="2"/>
      <c r="B811" s="50" t="s">
        <v>2</v>
      </c>
      <c r="C811" s="49">
        <f>SUM(C799:C810)</f>
        <v>130.9</v>
      </c>
    </row>
    <row r="812" spans="1:3">
      <c r="A812" s="2"/>
      <c r="B812" s="50" t="s">
        <v>3</v>
      </c>
      <c r="C812" s="49">
        <f>+B810-B796</f>
        <v>130.90000000002328</v>
      </c>
    </row>
    <row r="813" spans="1:3">
      <c r="A813" s="5"/>
      <c r="B813" s="47"/>
      <c r="C813" s="41"/>
    </row>
    <row r="814" spans="1:3">
      <c r="A814" s="41" t="s">
        <v>82</v>
      </c>
      <c r="B814" s="50" t="s">
        <v>5</v>
      </c>
      <c r="C814" s="50">
        <f>SUMIF(A795:A809,"&lt;0")</f>
        <v>-441921.72</v>
      </c>
    </row>
    <row r="815" spans="1:3">
      <c r="A815" s="41" t="str">
        <f>"SPY " &amp; COUNT(C799:C810) * 100 &amp; "股"</f>
        <v>SPY 600股</v>
      </c>
      <c r="B815" s="50" t="s">
        <v>6</v>
      </c>
      <c r="C815" s="50">
        <f>SUMIF(A797:A810,"&gt;0")</f>
        <v>442052.62000000005</v>
      </c>
    </row>
    <row r="816" spans="1:3" ht="17.25" customHeight="1" thickBot="1">
      <c r="A816" s="46"/>
      <c r="B816" s="50" t="s">
        <v>7</v>
      </c>
      <c r="C816" s="51">
        <f>+C814+C815</f>
        <v>130.90000000008149</v>
      </c>
    </row>
    <row r="817" spans="1:3" ht="17.25" customHeight="1" thickTop="1">
      <c r="A817" s="46"/>
      <c r="B817" s="50" t="s">
        <v>8</v>
      </c>
      <c r="C817" s="36">
        <f>C816/ABS(C814)</f>
        <v>2.9620630549700408E-4</v>
      </c>
    </row>
    <row r="818" spans="1:3">
      <c r="A818" s="5"/>
      <c r="B818" s="41"/>
      <c r="C818" s="41"/>
    </row>
    <row r="819" spans="1:3">
      <c r="A819" s="41" t="s">
        <v>83</v>
      </c>
      <c r="B819" s="50" t="s">
        <v>55</v>
      </c>
      <c r="C819" s="50">
        <f>C792</f>
        <v>-73257.5</v>
      </c>
    </row>
    <row r="820" spans="1:3">
      <c r="A820" s="41" t="s">
        <v>84</v>
      </c>
      <c r="B820" s="50" t="s">
        <v>55</v>
      </c>
      <c r="C820" s="50">
        <f>A796</f>
        <v>73514.97</v>
      </c>
    </row>
    <row r="821" spans="1:3" ht="17.25" customHeight="1" thickBot="1">
      <c r="A821" s="46"/>
      <c r="B821" s="50" t="s">
        <v>33</v>
      </c>
      <c r="C821" s="51">
        <f>+C819+C820</f>
        <v>257.47000000000116</v>
      </c>
    </row>
    <row r="822" spans="1:3" ht="17.25" customHeight="1" thickTop="1">
      <c r="A822" s="46"/>
      <c r="B822" s="50" t="s">
        <v>34</v>
      </c>
      <c r="C822" s="36">
        <f>C821/ABS(C819)</f>
        <v>3.5145889499368825E-3</v>
      </c>
    </row>
    <row r="823" spans="1:3">
      <c r="A823" s="5"/>
      <c r="B823" s="41"/>
      <c r="C823" s="41"/>
    </row>
    <row r="824" spans="1:3">
      <c r="A824" s="5"/>
      <c r="B824" s="41"/>
      <c r="C824" s="41"/>
    </row>
    <row r="825" spans="1:3" ht="30" customHeight="1">
      <c r="A825" s="46" t="s">
        <v>85</v>
      </c>
      <c r="B825" s="2">
        <v>30826.03</v>
      </c>
      <c r="C825" s="48" t="s">
        <v>1</v>
      </c>
    </row>
    <row r="826" spans="1:3">
      <c r="A826" s="1">
        <v>-73947</v>
      </c>
      <c r="B826" s="47">
        <f t="shared" ref="B826:B831" si="21">+B825+A826</f>
        <v>-43120.97</v>
      </c>
      <c r="C826" s="13"/>
    </row>
    <row r="827" spans="1:3">
      <c r="A827" s="2">
        <v>-73870</v>
      </c>
      <c r="B827" s="47">
        <f t="shared" si="21"/>
        <v>-116990.97</v>
      </c>
      <c r="C827" s="13"/>
    </row>
    <row r="828" spans="1:3">
      <c r="A828" s="2">
        <v>29550.18</v>
      </c>
      <c r="B828" s="47">
        <f t="shared" si="21"/>
        <v>-87440.790000000008</v>
      </c>
      <c r="C828" s="13"/>
    </row>
    <row r="829" spans="1:3">
      <c r="A829" s="2">
        <v>44325.29</v>
      </c>
      <c r="B829" s="47">
        <f t="shared" si="21"/>
        <v>-43115.500000000007</v>
      </c>
      <c r="C829" s="14">
        <v>5.47</v>
      </c>
    </row>
    <row r="830" spans="1:3">
      <c r="A830" s="1">
        <v>44351.38</v>
      </c>
      <c r="B830" s="47">
        <f t="shared" si="21"/>
        <v>1235.8799999999901</v>
      </c>
      <c r="C830" s="13"/>
    </row>
    <row r="831" spans="1:3">
      <c r="A831" s="1">
        <v>29567.02</v>
      </c>
      <c r="B831" s="47">
        <f t="shared" si="21"/>
        <v>30802.899999999991</v>
      </c>
      <c r="C831" s="15">
        <v>-28.6</v>
      </c>
    </row>
    <row r="832" spans="1:3">
      <c r="A832" s="2"/>
      <c r="B832" s="50" t="s">
        <v>2</v>
      </c>
      <c r="C832" s="49">
        <f>SUM(C820:C831)</f>
        <v>73749.313514588954</v>
      </c>
    </row>
    <row r="833" spans="1:3">
      <c r="A833" s="2"/>
      <c r="B833" s="50" t="s">
        <v>3</v>
      </c>
      <c r="C833" s="49">
        <f>+B831-B825</f>
        <v>-23.130000000008295</v>
      </c>
    </row>
    <row r="834" spans="1:3">
      <c r="A834" s="5"/>
      <c r="B834" s="47"/>
      <c r="C834" s="41"/>
    </row>
    <row r="835" spans="1:3">
      <c r="A835" s="41" t="s">
        <v>86</v>
      </c>
      <c r="B835" s="50" t="s">
        <v>5</v>
      </c>
      <c r="C835" s="50">
        <f>SUMIF(A826:A831,"&lt;0")</f>
        <v>-147817</v>
      </c>
    </row>
    <row r="836" spans="1:3">
      <c r="A836" s="41" t="str">
        <f>"SPY " &amp; COUNT(C826:C831) * 100 &amp; "股"</f>
        <v>SPY 200股</v>
      </c>
      <c r="B836" s="50" t="s">
        <v>6</v>
      </c>
      <c r="C836" s="50">
        <f>SUMIF(A826:A831,"&gt;0")</f>
        <v>147793.87</v>
      </c>
    </row>
    <row r="837" spans="1:3" ht="17.25" customHeight="1" thickBot="1">
      <c r="A837" s="46"/>
      <c r="B837" s="50" t="s">
        <v>7</v>
      </c>
      <c r="C837" s="51">
        <f>+C835+C836</f>
        <v>-23.130000000004657</v>
      </c>
    </row>
    <row r="838" spans="1:3" ht="17.25" customHeight="1" thickTop="1">
      <c r="A838" s="46"/>
      <c r="B838" s="50" t="s">
        <v>8</v>
      </c>
      <c r="C838" s="36">
        <f>C837/ABS(C835)</f>
        <v>-1.5647726580842974E-4</v>
      </c>
    </row>
    <row r="839" spans="1:3">
      <c r="A839" s="5"/>
      <c r="B839" s="41"/>
      <c r="C839" s="41"/>
    </row>
    <row r="840" spans="1:3">
      <c r="A840" s="5"/>
      <c r="B840" s="41"/>
      <c r="C840" s="41"/>
    </row>
    <row r="841" spans="1:3" ht="30" customHeight="1">
      <c r="A841" s="46" t="s">
        <v>87</v>
      </c>
      <c r="B841" s="2">
        <v>104471.9</v>
      </c>
      <c r="C841" s="48" t="s">
        <v>1</v>
      </c>
    </row>
    <row r="842" spans="1:3">
      <c r="A842" s="24">
        <v>-73618</v>
      </c>
      <c r="B842" s="47">
        <f t="shared" ref="B842:B850" si="22">+B841+A842</f>
        <v>30853.899999999994</v>
      </c>
      <c r="C842" s="41"/>
    </row>
    <row r="843" spans="1:3">
      <c r="A843" s="2">
        <v>-73530.42</v>
      </c>
      <c r="B843" s="47">
        <f t="shared" si="22"/>
        <v>-42676.520000000004</v>
      </c>
      <c r="C843" s="41"/>
    </row>
    <row r="844" spans="1:3">
      <c r="A844" s="2">
        <v>73612.45</v>
      </c>
      <c r="B844" s="47">
        <f t="shared" si="22"/>
        <v>30935.929999999993</v>
      </c>
      <c r="C844" s="41">
        <v>82.03</v>
      </c>
    </row>
    <row r="845" spans="1:3">
      <c r="A845" s="24">
        <v>73621.460000000006</v>
      </c>
      <c r="B845" s="47">
        <f t="shared" si="22"/>
        <v>104557.39</v>
      </c>
      <c r="C845" s="41">
        <v>3.46</v>
      </c>
    </row>
    <row r="846" spans="1:3">
      <c r="A846" s="29">
        <v>-14711.8</v>
      </c>
      <c r="B846" s="55">
        <f t="shared" si="22"/>
        <v>89845.59</v>
      </c>
      <c r="C846" s="30"/>
    </row>
    <row r="847" spans="1:3">
      <c r="A847" s="29">
        <v>-14712</v>
      </c>
      <c r="B847" s="55">
        <f t="shared" si="22"/>
        <v>75133.59</v>
      </c>
      <c r="C847" s="30"/>
    </row>
    <row r="848" spans="1:3">
      <c r="A848" s="29">
        <v>-44136.54</v>
      </c>
      <c r="B848" s="55">
        <f t="shared" si="22"/>
        <v>30997.049999999996</v>
      </c>
      <c r="C848" s="30"/>
    </row>
    <row r="849" spans="1:3">
      <c r="A849" s="29">
        <v>-29343.200000000001</v>
      </c>
      <c r="B849" s="55">
        <f t="shared" si="22"/>
        <v>1653.8499999999949</v>
      </c>
      <c r="C849" s="30"/>
    </row>
    <row r="850" spans="1:3">
      <c r="A850" s="31">
        <v>-44014.8</v>
      </c>
      <c r="B850" s="55">
        <f t="shared" si="22"/>
        <v>-42360.950000000012</v>
      </c>
      <c r="C850" s="30"/>
    </row>
    <row r="851" spans="1:3">
      <c r="A851" s="2"/>
      <c r="B851" s="50" t="s">
        <v>2</v>
      </c>
      <c r="C851" s="49">
        <f>SUM(C844:C845)</f>
        <v>85.49</v>
      </c>
    </row>
    <row r="852" spans="1:3">
      <c r="A852" s="2"/>
      <c r="B852" s="50" t="s">
        <v>3</v>
      </c>
      <c r="C852" s="49">
        <f>+B845-B841</f>
        <v>85.490000000005239</v>
      </c>
    </row>
    <row r="853" spans="1:3">
      <c r="A853" s="5"/>
      <c r="B853" s="47"/>
      <c r="C853" s="41"/>
    </row>
    <row r="854" spans="1:3">
      <c r="A854" s="41" t="s">
        <v>88</v>
      </c>
      <c r="B854" s="50" t="s">
        <v>5</v>
      </c>
      <c r="C854" s="50">
        <f>SUMIF(A842:A845,"&lt;0")</f>
        <v>-147148.41999999998</v>
      </c>
    </row>
    <row r="855" spans="1:3">
      <c r="A855" s="41" t="str">
        <f>"SPY " &amp; COUNT(C842:C846) * 100 &amp; "股"</f>
        <v>SPY 200股</v>
      </c>
      <c r="B855" s="50" t="s">
        <v>6</v>
      </c>
      <c r="C855" s="50">
        <f>SUMIF(A842:A34089,"&gt;0")</f>
        <v>33158252.320000038</v>
      </c>
    </row>
    <row r="856" spans="1:3" ht="17.25" customHeight="1" thickBot="1">
      <c r="A856" s="46"/>
      <c r="B856" s="50" t="s">
        <v>7</v>
      </c>
      <c r="C856" s="51">
        <f>+C854+C855</f>
        <v>33011103.900000036</v>
      </c>
    </row>
    <row r="857" spans="1:3" ht="17.25" customHeight="1" thickTop="1">
      <c r="A857" s="46"/>
      <c r="B857" s="50" t="s">
        <v>8</v>
      </c>
      <c r="C857" s="36">
        <f>C856/ABS(C854)</f>
        <v>224.33882674377367</v>
      </c>
    </row>
    <row r="858" spans="1:3">
      <c r="A858" s="41"/>
      <c r="B858" s="41"/>
      <c r="C858" s="41"/>
    </row>
    <row r="859" spans="1:3">
      <c r="A859" s="5"/>
      <c r="B859" s="41"/>
      <c r="C859" s="41"/>
    </row>
    <row r="860" spans="1:3">
      <c r="A860" s="41" t="s">
        <v>10</v>
      </c>
      <c r="B860" s="41"/>
      <c r="C860" s="41"/>
    </row>
    <row r="861" spans="1:3">
      <c r="A861" s="41" t="s">
        <v>89</v>
      </c>
      <c r="B861" s="41" t="s">
        <v>12</v>
      </c>
      <c r="C861" s="50">
        <f>A846+A847+A848</f>
        <v>-73560.34</v>
      </c>
    </row>
    <row r="862" spans="1:3">
      <c r="A862" s="41" t="s">
        <v>89</v>
      </c>
      <c r="B862" s="41" t="s">
        <v>12</v>
      </c>
      <c r="C862" s="50">
        <f>A849+A850</f>
        <v>-73358</v>
      </c>
    </row>
    <row r="863" spans="1:3">
      <c r="A863" s="5"/>
      <c r="B863" s="41"/>
      <c r="C863" s="41"/>
    </row>
    <row r="864" spans="1:3">
      <c r="A864" s="5"/>
      <c r="B864" s="41"/>
      <c r="C864" s="41"/>
    </row>
    <row r="865" spans="1:3">
      <c r="A865" s="5"/>
      <c r="B865" s="41"/>
      <c r="C865" s="41"/>
    </row>
    <row r="866" spans="1:3">
      <c r="A866" s="5"/>
      <c r="B866" s="41"/>
      <c r="C866" s="41"/>
    </row>
    <row r="867" spans="1:3" ht="30" customHeight="1">
      <c r="A867" s="46" t="s">
        <v>90</v>
      </c>
      <c r="B867" s="2">
        <v>104471.9</v>
      </c>
      <c r="C867" s="48" t="s">
        <v>1</v>
      </c>
    </row>
    <row r="868" spans="1:3">
      <c r="A868" s="6">
        <v>73848.960000000006</v>
      </c>
      <c r="B868" s="47">
        <f>+B867+A868</f>
        <v>178320.86</v>
      </c>
      <c r="C868" s="18">
        <v>490.96</v>
      </c>
    </row>
    <row r="869" spans="1:3">
      <c r="A869" s="6">
        <v>73895.150000000009</v>
      </c>
      <c r="B869" s="47">
        <f>+B868+A869</f>
        <v>252216.01</v>
      </c>
      <c r="C869" s="18">
        <v>334.81</v>
      </c>
    </row>
    <row r="870" spans="1:3">
      <c r="A870" s="6">
        <v>-74051.539999999994</v>
      </c>
      <c r="B870" s="47">
        <f>+B869+A870</f>
        <v>178164.47000000003</v>
      </c>
      <c r="C870" s="17"/>
    </row>
    <row r="871" spans="1:3">
      <c r="A871" s="6">
        <v>74089.45</v>
      </c>
      <c r="B871" s="47">
        <f>+B870+A871</f>
        <v>252253.92000000004</v>
      </c>
      <c r="C871" s="18">
        <v>37.909999999999997</v>
      </c>
    </row>
    <row r="872" spans="1:3">
      <c r="A872" s="2"/>
      <c r="B872" s="50" t="s">
        <v>2</v>
      </c>
      <c r="C872" s="49">
        <f>SUM(C870:C871)</f>
        <v>37.909999999999997</v>
      </c>
    </row>
    <row r="873" spans="1:3">
      <c r="A873" s="2"/>
      <c r="B873" s="50" t="s">
        <v>3</v>
      </c>
      <c r="C873" s="49">
        <f>+B871-B869</f>
        <v>37.910000000032596</v>
      </c>
    </row>
    <row r="874" spans="1:3">
      <c r="A874" s="5"/>
      <c r="B874" s="47"/>
      <c r="C874" s="41"/>
    </row>
    <row r="875" spans="1:3">
      <c r="A875" s="41" t="s">
        <v>91</v>
      </c>
      <c r="B875" s="50" t="s">
        <v>5</v>
      </c>
      <c r="C875" s="50">
        <f>SUMIF(A870:A871,"&lt;0")</f>
        <v>-74051.539999999994</v>
      </c>
    </row>
    <row r="876" spans="1:3">
      <c r="A876" s="41" t="str">
        <f>"SPY " &amp; COUNT(C870:C871) * 100 &amp; "股"</f>
        <v>SPY 100股</v>
      </c>
      <c r="B876" s="50" t="s">
        <v>6</v>
      </c>
      <c r="C876" s="50">
        <f>SUMIF(A870:A871,"&gt;0")</f>
        <v>74089.45</v>
      </c>
    </row>
    <row r="877" spans="1:3" ht="17.25" customHeight="1" thickBot="1">
      <c r="A877" s="46"/>
      <c r="B877" s="50" t="s">
        <v>7</v>
      </c>
      <c r="C877" s="51">
        <f>+C875+C876</f>
        <v>37.910000000003492</v>
      </c>
    </row>
    <row r="878" spans="1:3" ht="17.25" customHeight="1" thickTop="1">
      <c r="A878" s="46"/>
      <c r="B878" s="50" t="s">
        <v>8</v>
      </c>
      <c r="C878" s="36">
        <f>C877/ABS(C875)</f>
        <v>5.1194073749179963E-4</v>
      </c>
    </row>
    <row r="879" spans="1:3">
      <c r="A879" s="5"/>
      <c r="B879" s="41"/>
      <c r="C879" s="41"/>
    </row>
    <row r="880" spans="1:3">
      <c r="A880" s="41" t="s">
        <v>92</v>
      </c>
      <c r="B880" s="50" t="s">
        <v>55</v>
      </c>
      <c r="C880" s="50">
        <f>C862</f>
        <v>-73358</v>
      </c>
    </row>
    <row r="881" spans="1:3">
      <c r="A881" s="41" t="s">
        <v>93</v>
      </c>
      <c r="B881" s="50" t="s">
        <v>55</v>
      </c>
      <c r="C881" s="50">
        <f>A868</f>
        <v>73848.960000000006</v>
      </c>
    </row>
    <row r="882" spans="1:3" ht="17.25" customHeight="1" thickBot="1">
      <c r="A882" s="46"/>
      <c r="B882" s="50" t="s">
        <v>33</v>
      </c>
      <c r="C882" s="51">
        <f>+C880+C881</f>
        <v>490.9600000000064</v>
      </c>
    </row>
    <row r="883" spans="1:3" ht="17.25" customHeight="1" thickTop="1">
      <c r="A883" s="46"/>
      <c r="B883" s="50" t="s">
        <v>34</v>
      </c>
      <c r="C883" s="36">
        <f>C882/ABS(C880)</f>
        <v>6.6926579241528726E-3</v>
      </c>
    </row>
    <row r="884" spans="1:3">
      <c r="A884" s="5"/>
      <c r="B884" s="41"/>
      <c r="C884" s="41"/>
    </row>
    <row r="885" spans="1:3">
      <c r="A885" s="41" t="s">
        <v>92</v>
      </c>
      <c r="B885" s="50" t="s">
        <v>55</v>
      </c>
      <c r="C885" s="50">
        <f>C861</f>
        <v>-73560.34</v>
      </c>
    </row>
    <row r="886" spans="1:3">
      <c r="A886" s="41" t="s">
        <v>93</v>
      </c>
      <c r="B886" s="50" t="s">
        <v>55</v>
      </c>
      <c r="C886" s="50">
        <f>A869</f>
        <v>73895.150000000009</v>
      </c>
    </row>
    <row r="887" spans="1:3" ht="17.25" customHeight="1" thickBot="1">
      <c r="A887" s="46"/>
      <c r="B887" s="50" t="s">
        <v>33</v>
      </c>
      <c r="C887" s="51">
        <f>+C885+C886</f>
        <v>334.81000000001222</v>
      </c>
    </row>
    <row r="888" spans="1:3" ht="17.25" customHeight="1" thickTop="1">
      <c r="A888" s="46"/>
      <c r="B888" s="50" t="s">
        <v>34</v>
      </c>
      <c r="C888" s="36">
        <f>C887/ABS(C885)</f>
        <v>4.5515015292209391E-3</v>
      </c>
    </row>
    <row r="889" spans="1:3">
      <c r="A889" s="5"/>
      <c r="B889" s="41"/>
      <c r="C889" s="41"/>
    </row>
    <row r="890" spans="1:3">
      <c r="A890" s="5"/>
      <c r="B890" s="41"/>
      <c r="C890" s="41"/>
    </row>
    <row r="891" spans="1:3">
      <c r="A891" s="5"/>
      <c r="B891" s="41"/>
      <c r="C891" s="41"/>
    </row>
    <row r="892" spans="1:3">
      <c r="A892" s="5"/>
      <c r="B892" s="41"/>
      <c r="C892" s="41"/>
    </row>
    <row r="893" spans="1:3">
      <c r="A893" s="5"/>
      <c r="B893" s="41"/>
      <c r="C893" s="41"/>
    </row>
    <row r="894" spans="1:3" ht="30" customHeight="1">
      <c r="A894" s="46" t="s">
        <v>94</v>
      </c>
      <c r="B894" s="2">
        <v>-42384.08</v>
      </c>
      <c r="C894" s="48" t="s">
        <v>1</v>
      </c>
    </row>
    <row r="895" spans="1:3">
      <c r="A895" s="6">
        <v>-74906.92</v>
      </c>
      <c r="B895" s="47">
        <f>+B894+A895</f>
        <v>-117291</v>
      </c>
      <c r="C895" s="17"/>
    </row>
    <row r="896" spans="1:3">
      <c r="A896" s="6">
        <v>74889.94</v>
      </c>
      <c r="B896" s="47">
        <f>+B895+A896</f>
        <v>-42401.06</v>
      </c>
      <c r="C896" s="20">
        <v>-16.98</v>
      </c>
    </row>
    <row r="897" spans="1:3">
      <c r="A897" s="6">
        <v>-74759.5</v>
      </c>
      <c r="B897" s="47">
        <f>+B896+A897</f>
        <v>-117160.56</v>
      </c>
      <c r="C897" s="17"/>
    </row>
    <row r="898" spans="1:3">
      <c r="A898" s="6">
        <v>74787.94</v>
      </c>
      <c r="B898" s="47">
        <f>+B897+A898</f>
        <v>-42372.619999999995</v>
      </c>
      <c r="C898" s="18">
        <v>28.44</v>
      </c>
    </row>
    <row r="899" spans="1:3">
      <c r="A899" s="2"/>
      <c r="B899" s="50" t="s">
        <v>2</v>
      </c>
      <c r="C899" s="49">
        <f>SUM(C895:C898)</f>
        <v>11.46</v>
      </c>
    </row>
    <row r="900" spans="1:3">
      <c r="A900" s="2"/>
      <c r="B900" s="50" t="s">
        <v>3</v>
      </c>
      <c r="C900" s="49">
        <f>+B898-B894</f>
        <v>11.460000000006403</v>
      </c>
    </row>
    <row r="901" spans="1:3">
      <c r="A901" s="5"/>
      <c r="B901" s="47"/>
      <c r="C901" s="41"/>
    </row>
    <row r="902" spans="1:3">
      <c r="A902" s="41" t="s">
        <v>95</v>
      </c>
      <c r="B902" s="50" t="s">
        <v>5</v>
      </c>
      <c r="C902" s="50">
        <f>SUMIF(A895:A34613,"&lt;0")</f>
        <v>-32782615.229999978</v>
      </c>
    </row>
    <row r="903" spans="1:3">
      <c r="A903" s="41" t="str">
        <f>"SPY " &amp; COUNT(C895:C898) * 100 &amp; "股"</f>
        <v>SPY 200股</v>
      </c>
      <c r="B903" s="50" t="s">
        <v>6</v>
      </c>
      <c r="C903" s="50">
        <f>SUMIF(A895:A34618,"&gt;0")</f>
        <v>32789184.850000031</v>
      </c>
    </row>
    <row r="904" spans="1:3" ht="17.25" customHeight="1" thickBot="1">
      <c r="A904" s="46"/>
      <c r="B904" s="50" t="s">
        <v>7</v>
      </c>
      <c r="C904" s="51">
        <f>+C902+C903</f>
        <v>6569.6200000531971</v>
      </c>
    </row>
    <row r="905" spans="1:3" ht="17.25" customHeight="1" thickTop="1">
      <c r="A905" s="46"/>
      <c r="B905" s="50" t="s">
        <v>8</v>
      </c>
      <c r="C905" s="36">
        <f>C904/ABS(C902)</f>
        <v>2.0039950912888782E-4</v>
      </c>
    </row>
    <row r="906" spans="1:3">
      <c r="A906" s="41"/>
      <c r="B906" s="41"/>
      <c r="C906" s="41"/>
    </row>
    <row r="907" spans="1:3">
      <c r="A907" s="41"/>
      <c r="B907" s="41"/>
      <c r="C907" s="41"/>
    </row>
    <row r="908" spans="1:3" ht="30" customHeight="1">
      <c r="A908" s="46" t="s">
        <v>96</v>
      </c>
      <c r="B908" s="2">
        <v>-42372.62</v>
      </c>
      <c r="C908" s="48" t="s">
        <v>1</v>
      </c>
    </row>
    <row r="909" spans="1:3">
      <c r="A909" s="32">
        <v>-74070.5</v>
      </c>
      <c r="B909" s="47">
        <f t="shared" ref="B909:B918" si="23">+B908+A909</f>
        <v>-116443.12</v>
      </c>
      <c r="C909" s="41"/>
    </row>
    <row r="910" spans="1:3">
      <c r="A910" s="33">
        <v>-73925</v>
      </c>
      <c r="B910" s="47">
        <f t="shared" si="23"/>
        <v>-190368.12</v>
      </c>
      <c r="C910" s="41"/>
    </row>
    <row r="911" spans="1:3">
      <c r="A911" s="33">
        <v>73894.460000000006</v>
      </c>
      <c r="B911" s="47">
        <f t="shared" si="23"/>
        <v>-116473.65999999999</v>
      </c>
      <c r="C911" s="41">
        <v>-30.54</v>
      </c>
    </row>
    <row r="912" spans="1:3">
      <c r="A912" s="32">
        <v>-73955.5</v>
      </c>
      <c r="B912" s="47">
        <f t="shared" si="23"/>
        <v>-190429.15999999997</v>
      </c>
      <c r="C912" s="41"/>
    </row>
    <row r="913" spans="1:3">
      <c r="A913" s="33">
        <v>-74147.5</v>
      </c>
      <c r="B913" s="47">
        <f t="shared" si="23"/>
        <v>-264576.65999999997</v>
      </c>
      <c r="C913" s="41"/>
    </row>
    <row r="914" spans="1:3">
      <c r="A914" s="33">
        <v>74221.95</v>
      </c>
      <c r="B914" s="47">
        <f t="shared" si="23"/>
        <v>-190354.70999999996</v>
      </c>
      <c r="C914" s="41">
        <v>74.45</v>
      </c>
    </row>
    <row r="915" spans="1:3">
      <c r="A915" s="33">
        <v>-74181.91</v>
      </c>
      <c r="B915" s="47">
        <f t="shared" si="23"/>
        <v>-264536.62</v>
      </c>
      <c r="C915" s="41"/>
    </row>
    <row r="916" spans="1:3">
      <c r="A916" s="33">
        <v>74199.95</v>
      </c>
      <c r="B916" s="47">
        <f t="shared" si="23"/>
        <v>-190336.66999999998</v>
      </c>
      <c r="C916" s="41">
        <v>18.04</v>
      </c>
    </row>
    <row r="917" spans="1:3">
      <c r="A917" s="33">
        <v>-74122.5</v>
      </c>
      <c r="B917" s="47">
        <f t="shared" si="23"/>
        <v>-264459.17</v>
      </c>
      <c r="C917" s="41"/>
    </row>
    <row r="918" spans="1:3">
      <c r="A918" s="33">
        <v>74159.45</v>
      </c>
      <c r="B918" s="47">
        <f t="shared" si="23"/>
        <v>-190299.71999999997</v>
      </c>
      <c r="C918" s="41">
        <v>36.950000000000003</v>
      </c>
    </row>
    <row r="919" spans="1:3">
      <c r="A919" s="2"/>
      <c r="B919" s="50" t="s">
        <v>2</v>
      </c>
      <c r="C919" s="49">
        <f>SUM(C909:C918)</f>
        <v>98.9</v>
      </c>
    </row>
    <row r="920" spans="1:3">
      <c r="A920" s="2"/>
      <c r="B920" s="50" t="s">
        <v>3</v>
      </c>
      <c r="C920" s="49">
        <f>+B918-B909-A912</f>
        <v>98.900000000023283</v>
      </c>
    </row>
    <row r="921" spans="1:3">
      <c r="A921" s="5"/>
      <c r="B921" s="47"/>
      <c r="C921" s="41"/>
    </row>
    <row r="922" spans="1:3">
      <c r="A922" s="41" t="s">
        <v>97</v>
      </c>
      <c r="B922" s="50" t="s">
        <v>5</v>
      </c>
      <c r="C922" s="50">
        <f>SUMIF(A909:A918,"&lt;0")-A912-A909</f>
        <v>-296376.91000000003</v>
      </c>
    </row>
    <row r="923" spans="1:3">
      <c r="A923" s="41" t="str">
        <f>"SPY " &amp; COUNT(C909:C918) * 100 &amp; "股"</f>
        <v>SPY 400股</v>
      </c>
      <c r="B923" s="50" t="s">
        <v>6</v>
      </c>
      <c r="C923" s="50">
        <f>SUMIF(A909:A918,"&gt;0")</f>
        <v>296475.81</v>
      </c>
    </row>
    <row r="924" spans="1:3" ht="17.25" customHeight="1" thickBot="1">
      <c r="A924" s="46"/>
      <c r="B924" s="50" t="s">
        <v>7</v>
      </c>
      <c r="C924" s="51">
        <f>+C922+C923</f>
        <v>98.899999999965075</v>
      </c>
    </row>
    <row r="925" spans="1:3" ht="17.25" customHeight="1" thickTop="1">
      <c r="A925" s="46"/>
      <c r="B925" s="50" t="s">
        <v>8</v>
      </c>
      <c r="C925" s="36">
        <f>C924/ABS(C922)</f>
        <v>3.3369671071867599E-4</v>
      </c>
    </row>
    <row r="926" spans="1:3">
      <c r="A926" s="41"/>
      <c r="B926" s="41"/>
      <c r="C926" s="41"/>
    </row>
    <row r="927" spans="1:3">
      <c r="A927" s="41"/>
      <c r="B927" s="41"/>
      <c r="C927" s="41"/>
    </row>
    <row r="928" spans="1:3">
      <c r="A928" s="41" t="s">
        <v>10</v>
      </c>
      <c r="B928" s="41"/>
      <c r="C928" s="41"/>
    </row>
    <row r="929" spans="1:3">
      <c r="A929" s="41" t="s">
        <v>98</v>
      </c>
      <c r="B929" s="41" t="s">
        <v>12</v>
      </c>
      <c r="C929" s="50">
        <f>A909</f>
        <v>-74070.5</v>
      </c>
    </row>
    <row r="930" spans="1:3">
      <c r="A930" s="41" t="s">
        <v>98</v>
      </c>
      <c r="B930" s="41" t="s">
        <v>12</v>
      </c>
      <c r="C930" s="50">
        <f>A912</f>
        <v>-73955.5</v>
      </c>
    </row>
    <row r="931" spans="1:3">
      <c r="A931" s="41"/>
      <c r="B931" s="41"/>
      <c r="C931" s="41"/>
    </row>
    <row r="932" spans="1:3">
      <c r="A932" s="41"/>
      <c r="B932" s="41"/>
      <c r="C932" s="41"/>
    </row>
    <row r="933" spans="1:3">
      <c r="A933" s="41"/>
      <c r="B933" s="41"/>
      <c r="C933" s="41"/>
    </row>
    <row r="934" spans="1:3" ht="30" customHeight="1">
      <c r="A934" s="46" t="s">
        <v>99</v>
      </c>
      <c r="B934" s="2">
        <v>105409.4</v>
      </c>
      <c r="C934" s="48" t="s">
        <v>1</v>
      </c>
    </row>
    <row r="935" spans="1:3">
      <c r="A935" s="33">
        <v>-73857.990000000005</v>
      </c>
      <c r="B935" s="47">
        <f>+B934+A935</f>
        <v>31551.409999999989</v>
      </c>
      <c r="C935" s="41"/>
    </row>
    <row r="936" spans="1:3">
      <c r="A936" s="33">
        <v>73719.460000000006</v>
      </c>
      <c r="B936" s="47">
        <f>+B935+A936</f>
        <v>105270.87</v>
      </c>
      <c r="C936" s="41">
        <v>-138.53</v>
      </c>
    </row>
    <row r="937" spans="1:3">
      <c r="A937" s="33">
        <v>-73719.5</v>
      </c>
      <c r="B937" s="47">
        <f>+B936+A937</f>
        <v>31551.369999999995</v>
      </c>
      <c r="C937" s="41"/>
    </row>
    <row r="938" spans="1:3">
      <c r="A938" s="33">
        <v>73716.960000000006</v>
      </c>
      <c r="B938" s="47">
        <f>+B937+A938</f>
        <v>105268.33</v>
      </c>
      <c r="C938" s="41">
        <v>-2.54</v>
      </c>
    </row>
    <row r="939" spans="1:3">
      <c r="A939" s="2"/>
      <c r="B939" s="50" t="s">
        <v>2</v>
      </c>
      <c r="C939" s="49">
        <f>SUM(C935:C938)</f>
        <v>-141.07</v>
      </c>
    </row>
    <row r="940" spans="1:3">
      <c r="A940" s="2"/>
      <c r="B940" s="50" t="s">
        <v>3</v>
      </c>
      <c r="C940" s="49">
        <f>+B938-B934</f>
        <v>-141.06999999999243</v>
      </c>
    </row>
    <row r="941" spans="1:3">
      <c r="A941" s="5"/>
      <c r="B941" s="47"/>
      <c r="C941" s="41"/>
    </row>
    <row r="942" spans="1:3">
      <c r="A942" s="41" t="s">
        <v>100</v>
      </c>
      <c r="B942" s="50" t="s">
        <v>5</v>
      </c>
      <c r="C942" s="50">
        <f>SUMIF(A935:A938,"&lt;0")</f>
        <v>-147577.49</v>
      </c>
    </row>
    <row r="943" spans="1:3">
      <c r="A943" s="41" t="str">
        <f>"SPY " &amp; COUNT(C935:C938) * 100 &amp; "股"</f>
        <v>SPY 200股</v>
      </c>
      <c r="B943" s="50" t="s">
        <v>6</v>
      </c>
      <c r="C943" s="50">
        <f>SUMIF(A935:A938,"&gt;0")</f>
        <v>147436.42000000001</v>
      </c>
    </row>
    <row r="944" spans="1:3" ht="17.25" customHeight="1" thickBot="1">
      <c r="A944" s="46"/>
      <c r="B944" s="50" t="s">
        <v>7</v>
      </c>
      <c r="C944" s="51">
        <f>+C942+C943</f>
        <v>-141.06999999997788</v>
      </c>
    </row>
    <row r="945" spans="1:3" ht="17.25" customHeight="1" thickTop="1">
      <c r="A945" s="46"/>
      <c r="B945" s="50" t="s">
        <v>8</v>
      </c>
      <c r="C945" s="36">
        <f>C944/ABS(C942)</f>
        <v>-9.5590458951414533E-4</v>
      </c>
    </row>
    <row r="946" spans="1:3">
      <c r="A946" s="41"/>
      <c r="B946" s="41"/>
      <c r="C946" s="41"/>
    </row>
    <row r="947" spans="1:3">
      <c r="A947" s="41"/>
      <c r="B947" s="41"/>
      <c r="C947" s="41"/>
    </row>
    <row r="948" spans="1:3">
      <c r="A948" s="41" t="s">
        <v>10</v>
      </c>
      <c r="B948" s="41"/>
      <c r="C948" s="41"/>
    </row>
    <row r="949" spans="1:3">
      <c r="A949" s="41" t="s">
        <v>98</v>
      </c>
      <c r="B949" s="41" t="s">
        <v>12</v>
      </c>
      <c r="C949" s="50">
        <f>C929</f>
        <v>-74070.5</v>
      </c>
    </row>
    <row r="950" spans="1:3">
      <c r="A950" s="41" t="s">
        <v>98</v>
      </c>
      <c r="B950" s="41" t="s">
        <v>12</v>
      </c>
      <c r="C950" s="50">
        <f>C930</f>
        <v>-73955.5</v>
      </c>
    </row>
    <row r="951" spans="1:3">
      <c r="A951" s="41"/>
      <c r="B951" s="41"/>
      <c r="C951" s="41"/>
    </row>
    <row r="952" spans="1:3">
      <c r="A952" s="41"/>
      <c r="B952" s="41"/>
      <c r="C952" s="41"/>
    </row>
    <row r="953" spans="1:3">
      <c r="A953" s="41"/>
      <c r="B953" s="41"/>
      <c r="C953" s="41"/>
    </row>
    <row r="954" spans="1:3">
      <c r="A954" s="41"/>
      <c r="B954" s="41"/>
      <c r="C954" s="41"/>
    </row>
    <row r="955" spans="1:3">
      <c r="A955" s="41"/>
      <c r="B955" s="41"/>
      <c r="C955" s="41"/>
    </row>
    <row r="956" spans="1:3" ht="30" customHeight="1">
      <c r="A956" s="46" t="s">
        <v>101</v>
      </c>
      <c r="B956" s="2">
        <v>-42517.7</v>
      </c>
      <c r="C956" s="48" t="s">
        <v>1</v>
      </c>
    </row>
    <row r="957" spans="1:3">
      <c r="A957" s="2">
        <v>-73469.5</v>
      </c>
      <c r="B957" s="47">
        <f t="shared" ref="B957:B962" si="24">+B956+A957</f>
        <v>-115987.2</v>
      </c>
      <c r="C957" s="13"/>
    </row>
    <row r="958" spans="1:3">
      <c r="A958" s="2">
        <v>73366.17</v>
      </c>
      <c r="B958" s="47">
        <f t="shared" si="24"/>
        <v>-42621.03</v>
      </c>
      <c r="C958" s="15">
        <v>-103.33</v>
      </c>
    </row>
    <row r="959" spans="1:3">
      <c r="A959" s="2">
        <v>-73222.5</v>
      </c>
      <c r="B959" s="47">
        <f t="shared" si="24"/>
        <v>-115843.53</v>
      </c>
      <c r="C959" s="13"/>
    </row>
    <row r="960" spans="1:3">
      <c r="A960" s="2">
        <v>3663.2</v>
      </c>
      <c r="B960" s="47">
        <f t="shared" si="24"/>
        <v>-112180.33</v>
      </c>
      <c r="C960" s="13"/>
    </row>
    <row r="961" spans="1:3">
      <c r="A961" s="2">
        <v>54946.86</v>
      </c>
      <c r="B961" s="47">
        <f t="shared" si="24"/>
        <v>-57233.47</v>
      </c>
      <c r="C961" s="13"/>
    </row>
    <row r="962" spans="1:3">
      <c r="A962" s="2">
        <v>14652.74</v>
      </c>
      <c r="B962" s="47">
        <f t="shared" si="24"/>
        <v>-42580.73</v>
      </c>
      <c r="C962" s="14">
        <v>40.299999999999997</v>
      </c>
    </row>
    <row r="963" spans="1:3">
      <c r="B963" s="50" t="s">
        <v>2</v>
      </c>
      <c r="C963" s="49">
        <f>SUM(C957:C962)</f>
        <v>-63.03</v>
      </c>
    </row>
    <row r="964" spans="1:3">
      <c r="A964" s="2"/>
      <c r="B964" s="50" t="s">
        <v>3</v>
      </c>
      <c r="C964" s="49">
        <f>+B962-B956</f>
        <v>-63.030000000006112</v>
      </c>
    </row>
    <row r="965" spans="1:3">
      <c r="A965" s="5"/>
      <c r="B965" s="47"/>
      <c r="C965" s="41"/>
    </row>
    <row r="966" spans="1:3">
      <c r="A966" s="41" t="s">
        <v>100</v>
      </c>
      <c r="B966" s="50" t="s">
        <v>5</v>
      </c>
      <c r="C966" s="50">
        <f>SUMIF(A957:A962,"&lt;0")</f>
        <v>-146692</v>
      </c>
    </row>
    <row r="967" spans="1:3">
      <c r="A967" s="41" t="str">
        <f>"SPY " &amp; COUNT(C957:C962) * 100 &amp; "股"</f>
        <v>SPY 200股</v>
      </c>
      <c r="B967" s="50" t="s">
        <v>6</v>
      </c>
      <c r="C967" s="50">
        <f>SUMIF(A957:A962,"&gt;0")</f>
        <v>146628.96999999997</v>
      </c>
    </row>
    <row r="968" spans="1:3" ht="17.25" customHeight="1" thickBot="1">
      <c r="A968" s="46"/>
      <c r="B968" s="50" t="s">
        <v>7</v>
      </c>
      <c r="C968" s="51">
        <f>+C966+C967</f>
        <v>-63.03000000002794</v>
      </c>
    </row>
    <row r="969" spans="1:3" ht="17.25" customHeight="1" thickTop="1">
      <c r="A969" s="46"/>
      <c r="B969" s="50" t="s">
        <v>8</v>
      </c>
      <c r="C969" s="36">
        <f>C968/ABS(C966)</f>
        <v>-4.2967578327398861E-4</v>
      </c>
    </row>
    <row r="970" spans="1:3">
      <c r="A970" s="41"/>
      <c r="B970" s="41"/>
      <c r="C970" s="41"/>
    </row>
    <row r="971" spans="1:3">
      <c r="A971" s="41"/>
      <c r="B971" s="41"/>
      <c r="C971" s="41"/>
    </row>
    <row r="972" spans="1:3">
      <c r="A972" s="41" t="s">
        <v>10</v>
      </c>
      <c r="B972" s="41"/>
      <c r="C972" s="41"/>
    </row>
    <row r="973" spans="1:3">
      <c r="A973" s="41" t="s">
        <v>98</v>
      </c>
      <c r="B973" s="41" t="s">
        <v>12</v>
      </c>
      <c r="C973" s="50">
        <f>$Y$3793</f>
        <v>0</v>
      </c>
    </row>
    <row r="974" spans="1:3">
      <c r="A974" s="41" t="s">
        <v>98</v>
      </c>
      <c r="B974" s="41" t="s">
        <v>12</v>
      </c>
      <c r="C974" s="50">
        <f>$Y$3794</f>
        <v>0</v>
      </c>
    </row>
    <row r="977" spans="1:3">
      <c r="A977" t="s">
        <v>102</v>
      </c>
      <c r="B977">
        <v>-42580.73</v>
      </c>
      <c r="C977" t="s">
        <v>1</v>
      </c>
    </row>
    <row r="978" spans="1:3">
      <c r="A978">
        <v>-73554.990000000005</v>
      </c>
      <c r="B978">
        <f t="shared" ref="B978:B993" si="25">+B977+A978</f>
        <v>-116135.72</v>
      </c>
    </row>
    <row r="979" spans="1:3">
      <c r="A979">
        <v>-73467.8</v>
      </c>
      <c r="B979">
        <f t="shared" si="25"/>
        <v>-189603.52000000002</v>
      </c>
    </row>
    <row r="980" spans="1:3">
      <c r="A980">
        <v>73513.97</v>
      </c>
      <c r="B980">
        <f t="shared" si="25"/>
        <v>-116089.55000000002</v>
      </c>
      <c r="C980">
        <v>46.17</v>
      </c>
    </row>
    <row r="981" spans="1:3">
      <c r="A981">
        <v>-73606</v>
      </c>
      <c r="B981">
        <f t="shared" si="25"/>
        <v>-189695.55000000002</v>
      </c>
    </row>
    <row r="982" spans="1:3">
      <c r="A982">
        <v>22116.43</v>
      </c>
      <c r="B982">
        <f t="shared" si="25"/>
        <v>-167579.12000000002</v>
      </c>
    </row>
    <row r="983" spans="1:3">
      <c r="A983">
        <v>22116.46</v>
      </c>
      <c r="B983">
        <f t="shared" si="25"/>
        <v>-145462.66000000003</v>
      </c>
    </row>
    <row r="984" spans="1:3">
      <c r="A984">
        <v>22116.43</v>
      </c>
      <c r="B984">
        <f t="shared" si="25"/>
        <v>-123346.23000000004</v>
      </c>
    </row>
    <row r="985" spans="1:3">
      <c r="A985">
        <v>7372.15</v>
      </c>
      <c r="B985">
        <f t="shared" si="25"/>
        <v>-115974.08000000005</v>
      </c>
      <c r="C985">
        <v>115.47</v>
      </c>
    </row>
    <row r="986" spans="1:3">
      <c r="A986">
        <v>73748.47</v>
      </c>
      <c r="B986">
        <f t="shared" si="25"/>
        <v>-42225.610000000044</v>
      </c>
      <c r="C986">
        <v>193.48</v>
      </c>
    </row>
    <row r="987" spans="1:3">
      <c r="A987">
        <v>-73871</v>
      </c>
      <c r="B987">
        <f t="shared" si="25"/>
        <v>-116096.61000000004</v>
      </c>
    </row>
    <row r="988" spans="1:3">
      <c r="A988">
        <v>14786.3</v>
      </c>
      <c r="B988">
        <f t="shared" si="25"/>
        <v>-101310.31000000004</v>
      </c>
    </row>
    <row r="989" spans="1:3">
      <c r="A989">
        <v>36965.730000000003</v>
      </c>
      <c r="B989">
        <f t="shared" si="25"/>
        <v>-64344.580000000038</v>
      </c>
    </row>
    <row r="990" spans="1:3">
      <c r="A990">
        <v>5914.44</v>
      </c>
      <c r="B990">
        <f t="shared" si="25"/>
        <v>-58430.140000000036</v>
      </c>
    </row>
    <row r="991" spans="1:3">
      <c r="A991">
        <v>16264.93</v>
      </c>
      <c r="B991">
        <f t="shared" si="25"/>
        <v>-42165.210000000036</v>
      </c>
      <c r="C991">
        <v>60.4</v>
      </c>
    </row>
    <row r="992" spans="1:3">
      <c r="A992">
        <v>-73927.5</v>
      </c>
      <c r="B992">
        <f t="shared" si="25"/>
        <v>-116092.71000000004</v>
      </c>
    </row>
    <row r="993" spans="1:3">
      <c r="A993">
        <v>73945.460000000006</v>
      </c>
      <c r="B993">
        <f t="shared" si="25"/>
        <v>-42147.250000000029</v>
      </c>
      <c r="C993">
        <v>17.96</v>
      </c>
    </row>
    <row r="994" spans="1:3">
      <c r="B994" t="s">
        <v>2</v>
      </c>
      <c r="C994">
        <f>SUM(C978:C993)</f>
        <v>433.47999999999996</v>
      </c>
    </row>
    <row r="995" spans="1:3">
      <c r="B995" t="s">
        <v>3</v>
      </c>
      <c r="C995">
        <f>+B993-B977</f>
        <v>433.4799999999741</v>
      </c>
    </row>
    <row r="997" spans="1:3">
      <c r="A997" t="s">
        <v>103</v>
      </c>
      <c r="B997" t="s">
        <v>5</v>
      </c>
      <c r="C997">
        <f>SUMIF(A978:A993,"&lt;0")</f>
        <v>-368427.29000000004</v>
      </c>
    </row>
    <row r="998" spans="1:3">
      <c r="A998" t="str">
        <f>"SPY " &amp; COUNT(C978:C993) * 100 &amp; "股"</f>
        <v>SPY 500股</v>
      </c>
      <c r="B998" t="s">
        <v>6</v>
      </c>
      <c r="C998">
        <f>SUMIF(A978:A993,"&gt;0")</f>
        <v>368860.76999999996</v>
      </c>
    </row>
    <row r="999" spans="1:3">
      <c r="B999" t="s">
        <v>7</v>
      </c>
      <c r="C999">
        <f>+C997+C998</f>
        <v>433.47999999992317</v>
      </c>
    </row>
    <row r="1000" spans="1:3">
      <c r="B1000" t="s">
        <v>8</v>
      </c>
      <c r="C1000" s="45">
        <f>C999/ABS(C997)</f>
        <v>1.1765686521210824E-3</v>
      </c>
    </row>
    <row r="1003" spans="1:3">
      <c r="A1003" t="s">
        <v>10</v>
      </c>
    </row>
    <row r="1004" spans="1:3">
      <c r="A1004" t="s">
        <v>98</v>
      </c>
      <c r="B1004" t="s">
        <v>12</v>
      </c>
      <c r="C1004">
        <f>C949</f>
        <v>-74070.5</v>
      </c>
    </row>
    <row r="1005" spans="1:3">
      <c r="A1005" t="s">
        <v>98</v>
      </c>
      <c r="B1005" t="s">
        <v>12</v>
      </c>
      <c r="C1005">
        <f>C950</f>
        <v>-73955.5</v>
      </c>
    </row>
    <row r="1008" spans="1:3">
      <c r="A1008" t="s">
        <v>104</v>
      </c>
      <c r="B1008">
        <v>-42147.25</v>
      </c>
      <c r="C1008" t="s">
        <v>1</v>
      </c>
    </row>
    <row r="1009" spans="1:3">
      <c r="A1009">
        <v>-73805.600000000006</v>
      </c>
      <c r="B1009">
        <f t="shared" ref="B1009:B1016" si="26">+B1008+A1009</f>
        <v>-115952.85</v>
      </c>
    </row>
    <row r="1010" spans="1:3">
      <c r="A1010">
        <v>73876.460000000006</v>
      </c>
      <c r="B1010">
        <f t="shared" si="26"/>
        <v>-42076.39</v>
      </c>
      <c r="C1010">
        <v>70.86</v>
      </c>
    </row>
    <row r="1011" spans="1:3">
      <c r="A1011">
        <v>-73910.039999999994</v>
      </c>
      <c r="B1011">
        <f t="shared" si="26"/>
        <v>-115986.43</v>
      </c>
    </row>
    <row r="1012" spans="1:3">
      <c r="A1012">
        <v>73891.960000000006</v>
      </c>
      <c r="B1012">
        <f t="shared" si="26"/>
        <v>-42094.469999999987</v>
      </c>
      <c r="C1012">
        <v>-18.079999999999998</v>
      </c>
    </row>
    <row r="1013" spans="1:3">
      <c r="A1013">
        <v>-73968</v>
      </c>
      <c r="B1013">
        <f t="shared" si="26"/>
        <v>-116062.46999999999</v>
      </c>
    </row>
    <row r="1014" spans="1:3">
      <c r="A1014">
        <v>-73858.899999999994</v>
      </c>
      <c r="B1014">
        <f t="shared" si="26"/>
        <v>-189921.37</v>
      </c>
    </row>
    <row r="1015" spans="1:3">
      <c r="A1015">
        <v>73888.960000000006</v>
      </c>
      <c r="B1015">
        <f t="shared" si="26"/>
        <v>-116032.40999999999</v>
      </c>
      <c r="C1015">
        <v>30.06</v>
      </c>
    </row>
    <row r="1016" spans="1:3">
      <c r="A1016">
        <v>73888.960000000006</v>
      </c>
      <c r="B1016">
        <f t="shared" si="26"/>
        <v>-42143.449999999983</v>
      </c>
      <c r="C1016">
        <v>-79.040000000000006</v>
      </c>
    </row>
    <row r="1017" spans="1:3">
      <c r="B1017" t="s">
        <v>2</v>
      </c>
      <c r="C1017">
        <f>SUM(C1009:C1016)</f>
        <v>3.7999999999999972</v>
      </c>
    </row>
    <row r="1018" spans="1:3">
      <c r="B1018" t="s">
        <v>3</v>
      </c>
      <c r="C1018">
        <f>+B1016-B1008</f>
        <v>3.8000000000174623</v>
      </c>
    </row>
    <row r="1020" spans="1:3">
      <c r="A1020" t="s">
        <v>105</v>
      </c>
      <c r="B1020" t="s">
        <v>5</v>
      </c>
      <c r="C1020">
        <f>SUMIF(A1009:A1016,"&lt;0")</f>
        <v>-295542.54000000004</v>
      </c>
    </row>
    <row r="1021" spans="1:3">
      <c r="A1021" t="str">
        <f>"SPY " &amp; COUNT(C1009:C1016) * 100 &amp; "股"</f>
        <v>SPY 400股</v>
      </c>
      <c r="B1021" t="s">
        <v>6</v>
      </c>
      <c r="C1021">
        <f>SUMIF(A1009:A1016,"&gt;0")</f>
        <v>295546.34000000003</v>
      </c>
    </row>
    <row r="1022" spans="1:3">
      <c r="B1022" t="s">
        <v>7</v>
      </c>
      <c r="C1022">
        <f>+C1020+C1021</f>
        <v>3.7999999999883585</v>
      </c>
    </row>
    <row r="1023" spans="1:3">
      <c r="B1023" t="s">
        <v>8</v>
      </c>
      <c r="C1023" s="45">
        <f>C1022/ABS(C1020)</f>
        <v>1.2857709079675494E-5</v>
      </c>
    </row>
    <row r="1026" spans="1:3">
      <c r="A1026" t="s">
        <v>10</v>
      </c>
    </row>
    <row r="1027" spans="1:3">
      <c r="A1027" t="s">
        <v>98</v>
      </c>
      <c r="B1027" t="s">
        <v>12</v>
      </c>
      <c r="C1027">
        <f>C1004</f>
        <v>-74070.5</v>
      </c>
    </row>
    <row r="1028" spans="1:3">
      <c r="A1028" t="s">
        <v>98</v>
      </c>
      <c r="B1028" t="s">
        <v>12</v>
      </c>
      <c r="C1028">
        <f>C1005</f>
        <v>-73955.5</v>
      </c>
    </row>
    <row r="1031" spans="1:3">
      <c r="A1031" t="s">
        <v>106</v>
      </c>
      <c r="B1031">
        <v>-42143.45</v>
      </c>
      <c r="C1031" t="s">
        <v>1</v>
      </c>
    </row>
    <row r="1032" spans="1:3">
      <c r="A1032">
        <v>74585.440000000002</v>
      </c>
      <c r="B1032">
        <f>+B1031+A1032</f>
        <v>32441.990000000005</v>
      </c>
      <c r="C1032">
        <v>629.94000000000005</v>
      </c>
    </row>
    <row r="1033" spans="1:3">
      <c r="A1033">
        <v>74692.3</v>
      </c>
      <c r="B1033">
        <f>+B1032+A1033</f>
        <v>107134.29000000001</v>
      </c>
      <c r="C1033">
        <v>621.79999999999995</v>
      </c>
    </row>
    <row r="1034" spans="1:3">
      <c r="B1034" t="s">
        <v>2</v>
      </c>
      <c r="C1034">
        <f>SUM(C1032:C1033)</f>
        <v>1251.74</v>
      </c>
    </row>
    <row r="1035" spans="1:3">
      <c r="B1035" t="s">
        <v>3</v>
      </c>
      <c r="C1035">
        <f>+B1033-B1031</f>
        <v>149277.74</v>
      </c>
    </row>
    <row r="1037" spans="1:3">
      <c r="A1037" t="s">
        <v>107</v>
      </c>
    </row>
    <row r="1039" spans="1:3">
      <c r="A1039" t="s">
        <v>108</v>
      </c>
      <c r="B1039" t="s">
        <v>55</v>
      </c>
      <c r="C1039">
        <f>C1028</f>
        <v>-73955.5</v>
      </c>
    </row>
    <row r="1040" spans="1:3">
      <c r="A1040" t="s">
        <v>109</v>
      </c>
      <c r="B1040" t="s">
        <v>55</v>
      </c>
      <c r="C1040">
        <f>A1032</f>
        <v>74585.440000000002</v>
      </c>
    </row>
    <row r="1041" spans="1:3">
      <c r="B1041" t="s">
        <v>7</v>
      </c>
      <c r="C1041">
        <f>+C1039+C1040</f>
        <v>629.94000000000233</v>
      </c>
    </row>
    <row r="1042" spans="1:3">
      <c r="B1042" t="s">
        <v>8</v>
      </c>
      <c r="C1042" s="45">
        <f>C1041/ABS(C1039)</f>
        <v>8.5178249082218677E-3</v>
      </c>
    </row>
    <row r="1044" spans="1:3">
      <c r="A1044" t="s">
        <v>108</v>
      </c>
      <c r="B1044" t="s">
        <v>55</v>
      </c>
      <c r="C1044">
        <f>C1027</f>
        <v>-74070.5</v>
      </c>
    </row>
    <row r="1045" spans="1:3">
      <c r="A1045" t="s">
        <v>109</v>
      </c>
      <c r="B1045" t="s">
        <v>55</v>
      </c>
      <c r="C1045">
        <f>A1033</f>
        <v>74692.3</v>
      </c>
    </row>
    <row r="1046" spans="1:3">
      <c r="B1046" t="s">
        <v>7</v>
      </c>
      <c r="C1046">
        <f>+C1044+C1045</f>
        <v>621.80000000000291</v>
      </c>
    </row>
    <row r="1047" spans="1:3">
      <c r="B1047" t="s">
        <v>8</v>
      </c>
      <c r="C1047" s="45">
        <f>C1046/ABS(C1044)</f>
        <v>8.3947050445184381E-3</v>
      </c>
    </row>
    <row r="1049" spans="1:3">
      <c r="A1049" t="s">
        <v>110</v>
      </c>
      <c r="B1049">
        <v>107134.29</v>
      </c>
      <c r="C1049" t="s">
        <v>1</v>
      </c>
    </row>
    <row r="1050" spans="1:3">
      <c r="A1050">
        <v>75140.44</v>
      </c>
      <c r="B1050">
        <f t="shared" ref="B1050:B1057" si="27">+B1049+A1050</f>
        <v>182274.72999999998</v>
      </c>
    </row>
    <row r="1051" spans="1:3">
      <c r="A1051">
        <v>-75082</v>
      </c>
      <c r="B1051">
        <f t="shared" si="27"/>
        <v>107192.72999999998</v>
      </c>
      <c r="C1051">
        <v>58.44</v>
      </c>
    </row>
    <row r="1052" spans="1:3">
      <c r="A1052">
        <v>75089.429999999993</v>
      </c>
      <c r="B1052">
        <f t="shared" si="27"/>
        <v>182282.15999999997</v>
      </c>
    </row>
    <row r="1053" spans="1:3">
      <c r="A1053">
        <v>-75042.539999999994</v>
      </c>
      <c r="B1053">
        <f t="shared" si="27"/>
        <v>107239.61999999998</v>
      </c>
      <c r="C1053">
        <v>46.89</v>
      </c>
    </row>
    <row r="1054" spans="1:3">
      <c r="A1054">
        <v>-75082</v>
      </c>
      <c r="B1054">
        <f t="shared" si="27"/>
        <v>32157.619999999981</v>
      </c>
    </row>
    <row r="1055" spans="1:3">
      <c r="A1055">
        <v>75055.929999999993</v>
      </c>
      <c r="B1055">
        <f t="shared" si="27"/>
        <v>107213.54999999997</v>
      </c>
      <c r="C1055">
        <v>-26.07</v>
      </c>
    </row>
    <row r="1056" spans="1:3">
      <c r="A1056">
        <v>-74986</v>
      </c>
      <c r="B1056">
        <f t="shared" si="27"/>
        <v>32227.549999999974</v>
      </c>
    </row>
    <row r="1057" spans="1:3">
      <c r="A1057">
        <v>74938.45</v>
      </c>
      <c r="B1057">
        <f t="shared" si="27"/>
        <v>107165.99999999997</v>
      </c>
      <c r="C1057">
        <v>-47.55</v>
      </c>
    </row>
    <row r="1058" spans="1:3">
      <c r="B1058" t="s">
        <v>2</v>
      </c>
      <c r="C1058">
        <f>SUM(C1050:C1057)</f>
        <v>31.709999999999994</v>
      </c>
    </row>
    <row r="1059" spans="1:3">
      <c r="B1059" t="s">
        <v>3</v>
      </c>
      <c r="C1059">
        <f>+B1057-B1049</f>
        <v>31.709999999977299</v>
      </c>
    </row>
    <row r="1061" spans="1:3">
      <c r="A1061" t="s">
        <v>111</v>
      </c>
      <c r="B1061" t="s">
        <v>5</v>
      </c>
      <c r="C1061" s="58">
        <f>SUMIF(A1050:A1057,"&lt;0")</f>
        <v>-300192.53999999998</v>
      </c>
    </row>
    <row r="1062" spans="1:3">
      <c r="A1062" t="str">
        <f>"SPY " &amp; COUNT(C1050:C1057) * 100 &amp; "股"</f>
        <v>SPY 400股</v>
      </c>
      <c r="B1062" t="s">
        <v>6</v>
      </c>
      <c r="C1062" s="58">
        <f>SUMIF(A1050:A1057,"&gt;0")</f>
        <v>300224.25</v>
      </c>
    </row>
    <row r="1063" spans="1:3">
      <c r="B1063" t="s">
        <v>7</v>
      </c>
      <c r="C1063" s="58">
        <f>+C1061+C1062</f>
        <v>31.710000000020955</v>
      </c>
    </row>
    <row r="1064" spans="1:3">
      <c r="B1064" t="s">
        <v>8</v>
      </c>
      <c r="C1064" s="45">
        <f>C1063/ABS(C1061)</f>
        <v>1.0563220525073993E-4</v>
      </c>
    </row>
    <row r="1067" spans="1:3">
      <c r="A1067" t="s">
        <v>112</v>
      </c>
      <c r="B1067">
        <v>-42252.81</v>
      </c>
      <c r="C1067" t="s">
        <v>1</v>
      </c>
    </row>
    <row r="1068" spans="1:3">
      <c r="A1068">
        <v>-75037.94</v>
      </c>
      <c r="B1068">
        <f t="shared" ref="B1068:B1076" si="28">+B1067+A1068</f>
        <v>-117290.75</v>
      </c>
    </row>
    <row r="1069" spans="1:3">
      <c r="A1069">
        <v>-75073.5</v>
      </c>
      <c r="B1069">
        <f t="shared" si="28"/>
        <v>-192364.25</v>
      </c>
    </row>
    <row r="1070" spans="1:3">
      <c r="A1070">
        <v>75087.929999999993</v>
      </c>
      <c r="B1070">
        <f t="shared" si="28"/>
        <v>-117276.32</v>
      </c>
      <c r="C1070">
        <v>14.43</v>
      </c>
    </row>
    <row r="1071" spans="1:3">
      <c r="A1071">
        <v>-74979.5</v>
      </c>
      <c r="B1071">
        <f t="shared" si="28"/>
        <v>-192255.82</v>
      </c>
    </row>
    <row r="1072" spans="1:3">
      <c r="A1072">
        <v>-74920.5</v>
      </c>
      <c r="B1072">
        <f t="shared" si="28"/>
        <v>-267176.32000000001</v>
      </c>
    </row>
    <row r="1073" spans="1:3">
      <c r="A1073">
        <v>74972.45</v>
      </c>
      <c r="B1073">
        <f t="shared" si="28"/>
        <v>-192203.87</v>
      </c>
      <c r="C1073">
        <v>51.95</v>
      </c>
    </row>
    <row r="1074" spans="1:3">
      <c r="A1074">
        <v>-74874.5</v>
      </c>
      <c r="B1074">
        <f t="shared" si="28"/>
        <v>-267078.37</v>
      </c>
    </row>
    <row r="1075" spans="1:3">
      <c r="A1075">
        <v>74885.440000000002</v>
      </c>
      <c r="B1075">
        <f t="shared" si="28"/>
        <v>-192192.93</v>
      </c>
      <c r="C1075">
        <v>10.94</v>
      </c>
    </row>
    <row r="1076" spans="1:3">
      <c r="A1076">
        <v>74941.45</v>
      </c>
      <c r="B1076">
        <f t="shared" si="28"/>
        <v>-117251.48</v>
      </c>
      <c r="C1076">
        <v>-38.049999999999997</v>
      </c>
    </row>
    <row r="1077" spans="1:3">
      <c r="B1077" t="s">
        <v>2</v>
      </c>
      <c r="C1077">
        <f>SUM(C1068:C1076)</f>
        <v>39.269999999999996</v>
      </c>
    </row>
    <row r="1078" spans="1:3">
      <c r="B1078" t="s">
        <v>3</v>
      </c>
      <c r="C1078">
        <f>+B1076-B1067</f>
        <v>-74998.67</v>
      </c>
    </row>
    <row r="1080" spans="1:3">
      <c r="A1080" t="s">
        <v>113</v>
      </c>
      <c r="B1080" t="s">
        <v>5</v>
      </c>
      <c r="C1080">
        <f>SUMIF(A1068:A1076,"&lt;0")-A1068</f>
        <v>-299848</v>
      </c>
    </row>
    <row r="1081" spans="1:3">
      <c r="A1081" t="str">
        <f>"SPY " &amp; COUNT(C1068:C1076) * 100 &amp; "股"</f>
        <v>SPY 400股</v>
      </c>
      <c r="B1081" t="s">
        <v>6</v>
      </c>
      <c r="C1081">
        <f>SUMIF(A1068:A1076,"&gt;0")</f>
        <v>299887.27</v>
      </c>
    </row>
    <row r="1082" spans="1:3">
      <c r="B1082" t="s">
        <v>114</v>
      </c>
      <c r="C1082">
        <f>+C1080+C1081</f>
        <v>39.270000000018626</v>
      </c>
    </row>
    <row r="1083" spans="1:3">
      <c r="B1083" t="s">
        <v>115</v>
      </c>
      <c r="C1083">
        <f>C1082/ABS(C1080)</f>
        <v>1.3096635628724764E-4</v>
      </c>
    </row>
    <row r="1085" spans="1:3">
      <c r="A1085" t="s">
        <v>79</v>
      </c>
    </row>
    <row r="1086" spans="1:3">
      <c r="A1086" t="s">
        <v>116</v>
      </c>
      <c r="B1086" t="s">
        <v>12</v>
      </c>
      <c r="C1086">
        <v>-75037.94</v>
      </c>
    </row>
    <row r="1089" spans="1:3">
      <c r="A1089" t="s">
        <v>117</v>
      </c>
      <c r="B1089">
        <v>-42213.54</v>
      </c>
      <c r="C1089" t="s">
        <v>1</v>
      </c>
    </row>
    <row r="1090" spans="1:3">
      <c r="A1090">
        <v>75287.100000000006</v>
      </c>
      <c r="B1090">
        <f t="shared" ref="B1090:B1100" si="29">+B1089+A1090</f>
        <v>33073.560000000005</v>
      </c>
    </row>
    <row r="1091" spans="1:3">
      <c r="A1091">
        <v>-75180.899999999994</v>
      </c>
      <c r="B1091">
        <f t="shared" si="29"/>
        <v>-42107.339999999989</v>
      </c>
    </row>
    <row r="1092" spans="1:3">
      <c r="A1092">
        <v>75236.759999999995</v>
      </c>
      <c r="B1092">
        <f t="shared" si="29"/>
        <v>33129.420000000006</v>
      </c>
      <c r="C1092">
        <v>55.86</v>
      </c>
    </row>
    <row r="1093" spans="1:3">
      <c r="A1093">
        <v>-75225.5</v>
      </c>
      <c r="B1093">
        <f t="shared" si="29"/>
        <v>-42096.079999999994</v>
      </c>
    </row>
    <row r="1094" spans="1:3">
      <c r="A1094">
        <v>75249.440000000002</v>
      </c>
      <c r="B1094">
        <f t="shared" si="29"/>
        <v>33153.360000000008</v>
      </c>
      <c r="C1094">
        <v>23.94</v>
      </c>
    </row>
    <row r="1095" spans="1:3">
      <c r="A1095">
        <v>-75407.929999999993</v>
      </c>
      <c r="B1095">
        <f t="shared" si="29"/>
        <v>-42254.569999999985</v>
      </c>
    </row>
    <row r="1096" spans="1:3">
      <c r="A1096">
        <v>75404.929999999993</v>
      </c>
      <c r="B1096">
        <f t="shared" si="29"/>
        <v>33150.360000000008</v>
      </c>
      <c r="C1096">
        <v>-3</v>
      </c>
    </row>
    <row r="1097" spans="1:3">
      <c r="A1097">
        <v>-75439.990000000005</v>
      </c>
      <c r="B1097">
        <f t="shared" si="29"/>
        <v>-42289.63</v>
      </c>
    </row>
    <row r="1098" spans="1:3">
      <c r="A1098">
        <v>-75432.990000000005</v>
      </c>
      <c r="B1098">
        <f t="shared" si="29"/>
        <v>-117722.62</v>
      </c>
    </row>
    <row r="1099" spans="1:3">
      <c r="A1099">
        <v>75449.98</v>
      </c>
      <c r="B1099">
        <f t="shared" si="29"/>
        <v>-42272.639999999999</v>
      </c>
      <c r="C1099">
        <v>16.989999999999998</v>
      </c>
    </row>
    <row r="1100" spans="1:3">
      <c r="A1100">
        <v>75447.429999999993</v>
      </c>
      <c r="B1100">
        <f t="shared" si="29"/>
        <v>33174.789999999994</v>
      </c>
      <c r="C1100">
        <v>7.44</v>
      </c>
    </row>
    <row r="1101" spans="1:3">
      <c r="B1101" t="s">
        <v>2</v>
      </c>
      <c r="C1101">
        <f>SUM(C1090:C1100)</f>
        <v>101.22999999999999</v>
      </c>
    </row>
    <row r="1102" spans="1:3">
      <c r="B1102" t="s">
        <v>3</v>
      </c>
      <c r="C1102">
        <f>+B1100-B1089</f>
        <v>75388.329999999987</v>
      </c>
    </row>
    <row r="1104" spans="1:3">
      <c r="A1104" t="s">
        <v>118</v>
      </c>
      <c r="B1104" t="s">
        <v>5</v>
      </c>
      <c r="C1104">
        <f>SUMIF(A1090:A1100,"&lt;0")</f>
        <v>-376687.31</v>
      </c>
    </row>
    <row r="1105" spans="1:3">
      <c r="A1105" t="str">
        <f>"SPY " &amp; COUNT(C1090:C1100) * 100 &amp; "股"</f>
        <v>SPY 500股</v>
      </c>
      <c r="B1105" t="s">
        <v>6</v>
      </c>
      <c r="C1105">
        <f>SUMIF(A1090:A1100,"&gt;0")-A1090</f>
        <v>376788.53999999992</v>
      </c>
    </row>
    <row r="1106" spans="1:3">
      <c r="B1106" t="s">
        <v>114</v>
      </c>
      <c r="C1106">
        <f>+C1104+C1105</f>
        <v>101.22999999992317</v>
      </c>
    </row>
    <row r="1107" spans="1:3">
      <c r="B1107" t="s">
        <v>115</v>
      </c>
      <c r="C1107">
        <f>C1106/ABS(C1104)</f>
        <v>2.6873748414812053E-4</v>
      </c>
    </row>
    <row r="1109" spans="1:3">
      <c r="A1109" t="s">
        <v>119</v>
      </c>
      <c r="B1109" t="s">
        <v>55</v>
      </c>
      <c r="C1109">
        <f>C1086</f>
        <v>-75037.94</v>
      </c>
    </row>
    <row r="1110" spans="1:3">
      <c r="A1110" t="s">
        <v>120</v>
      </c>
      <c r="B1110" t="s">
        <v>55</v>
      </c>
      <c r="C1110">
        <v>75287.100000000006</v>
      </c>
    </row>
    <row r="1111" spans="1:3">
      <c r="B1111" t="s">
        <v>33</v>
      </c>
      <c r="C1111">
        <f>+C1109+C1110</f>
        <v>249.16000000000349</v>
      </c>
    </row>
    <row r="1112" spans="1:3">
      <c r="B1112" t="s">
        <v>34</v>
      </c>
      <c r="C1112">
        <f>C1111/ABS(C1109)</f>
        <v>3.3204536265255082E-3</v>
      </c>
    </row>
    <row r="1115" spans="1:3">
      <c r="A1115" t="s">
        <v>121</v>
      </c>
      <c r="B1115">
        <v>-42112.31</v>
      </c>
      <c r="C1115" t="s">
        <v>1</v>
      </c>
    </row>
    <row r="1116" spans="1:3">
      <c r="A1116">
        <v>-75628.600000000006</v>
      </c>
      <c r="B1116">
        <f t="shared" ref="B1116:B1121" si="30">+B1115+A1116</f>
        <v>-117740.91</v>
      </c>
    </row>
    <row r="1117" spans="1:3">
      <c r="A1117">
        <v>-75498.990000000005</v>
      </c>
      <c r="B1117">
        <f t="shared" si="30"/>
        <v>-193239.90000000002</v>
      </c>
    </row>
    <row r="1118" spans="1:3">
      <c r="A1118">
        <v>75521.919999999998</v>
      </c>
      <c r="B1118">
        <f t="shared" si="30"/>
        <v>-117717.98000000003</v>
      </c>
      <c r="C1118">
        <v>22.93</v>
      </c>
    </row>
    <row r="1119" spans="1:3">
      <c r="A1119">
        <v>75716.12</v>
      </c>
      <c r="B1119">
        <f t="shared" si="30"/>
        <v>-42001.86000000003</v>
      </c>
      <c r="C1119">
        <v>87.52</v>
      </c>
    </row>
    <row r="1120" spans="1:3">
      <c r="A1120">
        <v>-75693.5</v>
      </c>
      <c r="B1120">
        <f t="shared" si="30"/>
        <v>-117695.36000000003</v>
      </c>
    </row>
    <row r="1121" spans="1:3">
      <c r="A1121">
        <v>75675.42</v>
      </c>
      <c r="B1121">
        <f t="shared" si="30"/>
        <v>-42019.940000000031</v>
      </c>
      <c r="C1121">
        <v>-18.079999999999998</v>
      </c>
    </row>
    <row r="1122" spans="1:3">
      <c r="B1122" t="s">
        <v>2</v>
      </c>
      <c r="C1122">
        <f>SUM(C1116:C1121)</f>
        <v>92.36999999999999</v>
      </c>
    </row>
    <row r="1123" spans="1:3">
      <c r="B1123" t="s">
        <v>3</v>
      </c>
      <c r="C1123">
        <f>+B1121-B1115</f>
        <v>92.36999999996624</v>
      </c>
    </row>
    <row r="1125" spans="1:3">
      <c r="A1125" t="s">
        <v>122</v>
      </c>
      <c r="B1125" t="s">
        <v>5</v>
      </c>
      <c r="C1125">
        <f>SUMIF(A1116:A1121,"&lt;0")</f>
        <v>-226821.09000000003</v>
      </c>
    </row>
    <row r="1126" spans="1:3">
      <c r="A1126" t="str">
        <f>"SPY " &amp; COUNT(C1116:C1121) * 100 &amp; "股"</f>
        <v>SPY 300股</v>
      </c>
      <c r="B1126" t="s">
        <v>6</v>
      </c>
      <c r="C1126">
        <f>SUMIF(A1116:A1121,"&gt;0")</f>
        <v>226913.45999999996</v>
      </c>
    </row>
    <row r="1127" spans="1:3">
      <c r="B1127" t="s">
        <v>114</v>
      </c>
      <c r="C1127">
        <f>+C1125+C1126</f>
        <v>92.369999999937136</v>
      </c>
    </row>
    <row r="1128" spans="1:3">
      <c r="B1128" t="s">
        <v>115</v>
      </c>
      <c r="C1128">
        <f>C1127/ABS(C1125)</f>
        <v>4.0723726351873685E-4</v>
      </c>
    </row>
    <row r="1131" spans="1:3">
      <c r="A1131" t="s">
        <v>123</v>
      </c>
      <c r="B1131">
        <v>-42019.94</v>
      </c>
      <c r="C1131" t="s">
        <v>1</v>
      </c>
    </row>
    <row r="1132" spans="1:3">
      <c r="A1132">
        <v>-75518.5</v>
      </c>
      <c r="B1132">
        <f t="shared" ref="B1132:B1143" si="31">+B1131+A1132</f>
        <v>-117538.44</v>
      </c>
    </row>
    <row r="1133" spans="1:3">
      <c r="A1133">
        <v>75618.89</v>
      </c>
      <c r="B1133">
        <f t="shared" si="31"/>
        <v>-41919.550000000003</v>
      </c>
      <c r="C1133">
        <v>100.39</v>
      </c>
    </row>
    <row r="1134" spans="1:3">
      <c r="A1134">
        <v>-75602.03</v>
      </c>
      <c r="B1134">
        <f t="shared" si="31"/>
        <v>-117521.58</v>
      </c>
    </row>
    <row r="1135" spans="1:3">
      <c r="A1135">
        <v>75635.42</v>
      </c>
      <c r="B1135">
        <f t="shared" si="31"/>
        <v>-41886.160000000003</v>
      </c>
      <c r="C1135">
        <v>33.39</v>
      </c>
    </row>
    <row r="1136" spans="1:3">
      <c r="A1136">
        <v>-75507.5</v>
      </c>
      <c r="B1136">
        <f t="shared" si="31"/>
        <v>-117393.66</v>
      </c>
    </row>
    <row r="1137" spans="1:3">
      <c r="A1137">
        <v>75545.3</v>
      </c>
      <c r="B1137">
        <f t="shared" si="31"/>
        <v>-41848.36</v>
      </c>
      <c r="C1137">
        <v>37.799999999999997</v>
      </c>
    </row>
    <row r="1138" spans="1:3">
      <c r="A1138">
        <v>-75547.5</v>
      </c>
      <c r="B1138">
        <f t="shared" si="31"/>
        <v>-117395.86</v>
      </c>
    </row>
    <row r="1139" spans="1:3">
      <c r="A1139">
        <v>75534.92</v>
      </c>
      <c r="B1139">
        <f t="shared" si="31"/>
        <v>-41860.94</v>
      </c>
      <c r="C1139">
        <v>-12.58</v>
      </c>
    </row>
    <row r="1140" spans="1:3">
      <c r="A1140">
        <v>-75515</v>
      </c>
      <c r="B1140">
        <f t="shared" si="31"/>
        <v>-117375.94</v>
      </c>
    </row>
    <row r="1141" spans="1:3">
      <c r="A1141">
        <v>75521.42</v>
      </c>
      <c r="B1141">
        <f t="shared" si="31"/>
        <v>-41854.520000000004</v>
      </c>
      <c r="C1141">
        <v>6.42</v>
      </c>
    </row>
    <row r="1142" spans="1:3">
      <c r="A1142">
        <v>-75470.48</v>
      </c>
      <c r="B1142">
        <f t="shared" si="31"/>
        <v>-117325</v>
      </c>
    </row>
    <row r="1143" spans="1:3">
      <c r="A1143">
        <v>75465.929999999993</v>
      </c>
      <c r="B1143">
        <f t="shared" si="31"/>
        <v>-41859.070000000007</v>
      </c>
      <c r="C1143">
        <v>-4.55</v>
      </c>
    </row>
    <row r="1144" spans="1:3">
      <c r="B1144" t="s">
        <v>2</v>
      </c>
      <c r="C1144">
        <f>SUM(C1132:C1143)</f>
        <v>160.86999999999995</v>
      </c>
    </row>
    <row r="1145" spans="1:3">
      <c r="B1145" t="s">
        <v>3</v>
      </c>
      <c r="C1145">
        <f>+B1143-B1131</f>
        <v>160.86999999999534</v>
      </c>
    </row>
    <row r="1147" spans="1:3">
      <c r="A1147" t="s">
        <v>124</v>
      </c>
      <c r="B1147" t="s">
        <v>5</v>
      </c>
      <c r="C1147">
        <f>SUMIF(A1132:A1143,"&lt;0")</f>
        <v>-453161.01</v>
      </c>
    </row>
    <row r="1148" spans="1:3">
      <c r="A1148" t="str">
        <f>"SPY " &amp; COUNT(C1132:C1143) * 100 &amp; "股"</f>
        <v>SPY 600股</v>
      </c>
      <c r="B1148" t="s">
        <v>6</v>
      </c>
      <c r="C1148">
        <f>SUMIF(A1132:A1143,"&gt;0")</f>
        <v>453321.87999999995</v>
      </c>
    </row>
    <row r="1149" spans="1:3">
      <c r="B1149" t="s">
        <v>114</v>
      </c>
      <c r="C1149">
        <f>+C1147+C1148</f>
        <v>160.86999999993714</v>
      </c>
    </row>
    <row r="1150" spans="1:3">
      <c r="B1150" t="s">
        <v>115</v>
      </c>
      <c r="C1150">
        <f>C1149/ABS(C1147)</f>
        <v>3.5499523668185205E-4</v>
      </c>
    </row>
    <row r="1153" spans="1:3">
      <c r="A1153" t="s">
        <v>125</v>
      </c>
      <c r="B1153">
        <v>-41859.07</v>
      </c>
      <c r="C1153" t="s">
        <v>1</v>
      </c>
    </row>
    <row r="1154" spans="1:3">
      <c r="A1154">
        <v>-75317.5</v>
      </c>
      <c r="B1154">
        <f t="shared" ref="B1154:B1165" si="32">+B1153+A1154</f>
        <v>-117176.57</v>
      </c>
    </row>
    <row r="1155" spans="1:3">
      <c r="A1155">
        <v>75384.429999999993</v>
      </c>
      <c r="B1155">
        <f t="shared" si="32"/>
        <v>-41792.140000000014</v>
      </c>
      <c r="C1155">
        <v>66.930000000000007</v>
      </c>
    </row>
    <row r="1156" spans="1:3">
      <c r="A1156">
        <v>-75405.440000000002</v>
      </c>
      <c r="B1156">
        <f t="shared" si="32"/>
        <v>-117197.58000000002</v>
      </c>
    </row>
    <row r="1157" spans="1:3">
      <c r="A1157">
        <v>75377.440000000002</v>
      </c>
      <c r="B1157">
        <f t="shared" si="32"/>
        <v>-41820.140000000014</v>
      </c>
      <c r="C1157">
        <v>-28</v>
      </c>
    </row>
    <row r="1158" spans="1:3">
      <c r="A1158">
        <v>-75472.88</v>
      </c>
      <c r="B1158">
        <f t="shared" si="32"/>
        <v>-117293.02000000002</v>
      </c>
    </row>
    <row r="1159" spans="1:3">
      <c r="A1159">
        <v>75479.429999999993</v>
      </c>
      <c r="B1159">
        <f t="shared" si="32"/>
        <v>-41813.590000000026</v>
      </c>
      <c r="C1159">
        <v>6.55</v>
      </c>
    </row>
    <row r="1160" spans="1:3">
      <c r="A1160">
        <v>-75517</v>
      </c>
      <c r="B1160">
        <f t="shared" si="32"/>
        <v>-117330.59000000003</v>
      </c>
    </row>
    <row r="1161" spans="1:3">
      <c r="A1161">
        <v>75539.429999999993</v>
      </c>
      <c r="B1161">
        <f t="shared" si="32"/>
        <v>-41791.160000000033</v>
      </c>
      <c r="C1161">
        <v>22.43</v>
      </c>
    </row>
    <row r="1162" spans="1:3">
      <c r="A1162">
        <v>-75545.899999999994</v>
      </c>
      <c r="B1162">
        <f t="shared" si="32"/>
        <v>-117337.06000000003</v>
      </c>
    </row>
    <row r="1163" spans="1:3">
      <c r="A1163">
        <v>75559.42</v>
      </c>
      <c r="B1163">
        <f t="shared" si="32"/>
        <v>-41777.640000000029</v>
      </c>
      <c r="C1163">
        <v>13.52</v>
      </c>
    </row>
    <row r="1164" spans="1:3">
      <c r="A1164">
        <v>-75554</v>
      </c>
      <c r="B1164">
        <f t="shared" si="32"/>
        <v>-117331.64000000003</v>
      </c>
    </row>
    <row r="1165" spans="1:3">
      <c r="A1165">
        <v>75658.42</v>
      </c>
      <c r="B1165">
        <f t="shared" si="32"/>
        <v>-41673.22000000003</v>
      </c>
      <c r="C1165">
        <v>104.42</v>
      </c>
    </row>
    <row r="1166" spans="1:3">
      <c r="B1166" t="s">
        <v>2</v>
      </c>
      <c r="C1166">
        <f>SUM(C1154:C1165)</f>
        <v>185.85</v>
      </c>
    </row>
    <row r="1167" spans="1:3">
      <c r="B1167" t="s">
        <v>3</v>
      </c>
      <c r="C1167">
        <f>+B1165-B1153</f>
        <v>185.84999999996944</v>
      </c>
    </row>
    <row r="1169" spans="1:3">
      <c r="A1169" t="s">
        <v>126</v>
      </c>
      <c r="B1169" t="s">
        <v>5</v>
      </c>
      <c r="C1169">
        <f>SUMIF(A1154:A1165,"&lt;0")</f>
        <v>-452812.72</v>
      </c>
    </row>
    <row r="1170" spans="1:3">
      <c r="A1170" t="str">
        <f>"SPY " &amp; COUNT(C1154:C1165) * 100 &amp; "股"</f>
        <v>SPY 600股</v>
      </c>
      <c r="B1170" t="s">
        <v>6</v>
      </c>
      <c r="C1170">
        <f>SUMIF(A1154:A1165,"&gt;0")</f>
        <v>452998.56999999995</v>
      </c>
    </row>
    <row r="1171" spans="1:3">
      <c r="B1171" t="s">
        <v>114</v>
      </c>
      <c r="C1171">
        <f>+C1169+C1170</f>
        <v>185.84999999997672</v>
      </c>
    </row>
    <row r="1172" spans="1:3">
      <c r="B1172" t="s">
        <v>115</v>
      </c>
      <c r="C1172">
        <f>C1171/ABS(C1169)</f>
        <v>4.104345831980531E-4</v>
      </c>
    </row>
    <row r="1175" spans="1:3">
      <c r="A1175" t="s">
        <v>127</v>
      </c>
      <c r="B1175">
        <v>-41673.22</v>
      </c>
      <c r="C1175" t="s">
        <v>1</v>
      </c>
    </row>
    <row r="1176" spans="1:3">
      <c r="A1176">
        <v>-75050</v>
      </c>
      <c r="B1176">
        <f t="shared" ref="B1176:B1188" si="33">+B1175+A1176</f>
        <v>-116723.22</v>
      </c>
    </row>
    <row r="1177" spans="1:3">
      <c r="A1177">
        <v>-74985.5</v>
      </c>
      <c r="B1177">
        <f t="shared" si="33"/>
        <v>-191708.72</v>
      </c>
    </row>
    <row r="1178" spans="1:3">
      <c r="A1178">
        <v>74942.38</v>
      </c>
      <c r="B1178">
        <f t="shared" si="33"/>
        <v>-116766.34</v>
      </c>
      <c r="C1178">
        <v>-43.12</v>
      </c>
    </row>
    <row r="1179" spans="1:3">
      <c r="A1179">
        <v>-74916.94</v>
      </c>
      <c r="B1179">
        <f t="shared" si="33"/>
        <v>-191683.28</v>
      </c>
    </row>
    <row r="1180" spans="1:3">
      <c r="A1180">
        <v>74921.440000000002</v>
      </c>
      <c r="B1180">
        <f t="shared" si="33"/>
        <v>-116761.84</v>
      </c>
      <c r="C1180">
        <v>4.5</v>
      </c>
    </row>
    <row r="1181" spans="1:3">
      <c r="A1181">
        <v>75017.929999999993</v>
      </c>
      <c r="B1181">
        <f t="shared" si="33"/>
        <v>-41743.910000000003</v>
      </c>
      <c r="C1181">
        <v>-32.07</v>
      </c>
    </row>
    <row r="1182" spans="1:3">
      <c r="A1182">
        <v>-74933</v>
      </c>
      <c r="B1182">
        <f t="shared" si="33"/>
        <v>-116676.91</v>
      </c>
    </row>
    <row r="1183" spans="1:3">
      <c r="A1183">
        <v>74995.44</v>
      </c>
      <c r="B1183">
        <f t="shared" si="33"/>
        <v>-41681.47</v>
      </c>
      <c r="C1183">
        <v>62.44</v>
      </c>
    </row>
    <row r="1184" spans="1:3">
      <c r="A1184">
        <v>-74977.460000000006</v>
      </c>
      <c r="B1184">
        <f t="shared" si="33"/>
        <v>-116658.93000000001</v>
      </c>
    </row>
    <row r="1185" spans="1:3">
      <c r="A1185">
        <v>75069.429999999993</v>
      </c>
      <c r="B1185">
        <f t="shared" si="33"/>
        <v>-41589.500000000015</v>
      </c>
      <c r="C1185">
        <v>91.97</v>
      </c>
    </row>
    <row r="1186" spans="1:3">
      <c r="A1186">
        <v>-74937</v>
      </c>
      <c r="B1186">
        <f t="shared" si="33"/>
        <v>-116526.50000000001</v>
      </c>
    </row>
    <row r="1187" spans="1:3">
      <c r="A1187">
        <v>-74845</v>
      </c>
      <c r="B1187">
        <f t="shared" si="33"/>
        <v>-191371.5</v>
      </c>
    </row>
    <row r="1188" spans="1:3">
      <c r="A1188">
        <v>-74653</v>
      </c>
      <c r="B1188">
        <f t="shared" si="33"/>
        <v>-266024.5</v>
      </c>
    </row>
    <row r="1189" spans="1:3">
      <c r="B1189" t="s">
        <v>2</v>
      </c>
      <c r="C1189">
        <f>SUM(C1176:C1188)</f>
        <v>83.72</v>
      </c>
    </row>
    <row r="1190" spans="1:3">
      <c r="B1190" t="s">
        <v>3</v>
      </c>
      <c r="C1190">
        <f>+B1188-B1175</f>
        <v>-224351.28</v>
      </c>
    </row>
    <row r="1192" spans="1:3">
      <c r="A1192" t="s">
        <v>128</v>
      </c>
      <c r="B1192" t="s">
        <v>5</v>
      </c>
      <c r="C1192">
        <f>SUMIF(A1176:A1188,"&lt;0")-A1186-A1187-A1188</f>
        <v>-374862.9</v>
      </c>
    </row>
    <row r="1193" spans="1:3">
      <c r="A1193" t="str">
        <f>"SPY " &amp; COUNT(C1176:C1188) * 100 &amp; "股"</f>
        <v>SPY 500股</v>
      </c>
      <c r="B1193" t="s">
        <v>6</v>
      </c>
      <c r="C1193">
        <f>SUMIF(A1176:A1188,"&gt;0")</f>
        <v>374946.62</v>
      </c>
    </row>
    <row r="1194" spans="1:3">
      <c r="B1194" t="s">
        <v>114</v>
      </c>
      <c r="C1194">
        <f>+C1192+C1193</f>
        <v>83.71999999997206</v>
      </c>
    </row>
    <row r="1195" spans="1:3">
      <c r="B1195" t="s">
        <v>115</v>
      </c>
      <c r="C1195">
        <f>C1194/ABS(C1192)</f>
        <v>2.2333498460362991E-4</v>
      </c>
    </row>
    <row r="1197" spans="1:3">
      <c r="A1197" t="s">
        <v>129</v>
      </c>
    </row>
    <row r="1198" spans="1:3">
      <c r="A1198" t="s">
        <v>130</v>
      </c>
      <c r="B1198" t="s">
        <v>12</v>
      </c>
      <c r="C1198">
        <v>-74937</v>
      </c>
    </row>
    <row r="1199" spans="1:3">
      <c r="A1199" t="s">
        <v>130</v>
      </c>
      <c r="B1199" t="s">
        <v>12</v>
      </c>
      <c r="C1199">
        <v>-74845</v>
      </c>
    </row>
    <row r="1200" spans="1:3">
      <c r="A1200" t="s">
        <v>130</v>
      </c>
      <c r="B1200" t="s">
        <v>12</v>
      </c>
      <c r="C1200">
        <v>-74653</v>
      </c>
    </row>
    <row r="1203" spans="1:3">
      <c r="A1203" t="s">
        <v>131</v>
      </c>
      <c r="B1203">
        <v>-41589.5</v>
      </c>
      <c r="C1203" t="s">
        <v>1</v>
      </c>
    </row>
    <row r="1204" spans="1:3">
      <c r="A1204">
        <v>-74222.5</v>
      </c>
      <c r="B1204">
        <f t="shared" ref="B1204:B1212" si="34">+B1203+A1204</f>
        <v>-115812</v>
      </c>
    </row>
    <row r="1205" spans="1:3">
      <c r="A1205">
        <v>74319.95</v>
      </c>
      <c r="B1205">
        <f t="shared" si="34"/>
        <v>-41492.050000000003</v>
      </c>
      <c r="C1205">
        <v>97.45</v>
      </c>
    </row>
    <row r="1206" spans="1:3">
      <c r="A1206">
        <v>-74352.679999999993</v>
      </c>
      <c r="B1206">
        <f t="shared" si="34"/>
        <v>-115844.73</v>
      </c>
    </row>
    <row r="1207" spans="1:3">
      <c r="A1207">
        <v>74391.95</v>
      </c>
      <c r="B1207">
        <f t="shared" si="34"/>
        <v>-41452.78</v>
      </c>
      <c r="C1207">
        <v>39.270000000000003</v>
      </c>
    </row>
    <row r="1208" spans="1:3">
      <c r="A1208">
        <v>-74283.8</v>
      </c>
      <c r="B1208">
        <f t="shared" si="34"/>
        <v>-115736.58</v>
      </c>
    </row>
    <row r="1209" spans="1:3">
      <c r="A1209">
        <v>74277.210000000006</v>
      </c>
      <c r="B1209">
        <f t="shared" si="34"/>
        <v>-41459.369999999995</v>
      </c>
      <c r="C1209">
        <v>-6.59</v>
      </c>
    </row>
    <row r="1210" spans="1:3">
      <c r="A1210">
        <v>74360.95</v>
      </c>
      <c r="B1210">
        <f t="shared" si="34"/>
        <v>32901.58</v>
      </c>
    </row>
    <row r="1211" spans="1:3">
      <c r="A1211">
        <v>-74113.5</v>
      </c>
      <c r="B1211">
        <f t="shared" si="34"/>
        <v>-41211.919999999998</v>
      </c>
    </row>
    <row r="1212" spans="1:3">
      <c r="A1212">
        <v>74142.91</v>
      </c>
      <c r="B1212">
        <f t="shared" si="34"/>
        <v>32930.990000000005</v>
      </c>
      <c r="C1212">
        <v>29.41</v>
      </c>
    </row>
    <row r="1213" spans="1:3">
      <c r="B1213" t="s">
        <v>2</v>
      </c>
      <c r="C1213">
        <f>SUM(C1204:C1212)</f>
        <v>159.54</v>
      </c>
    </row>
    <row r="1214" spans="1:3">
      <c r="B1214" t="s">
        <v>3</v>
      </c>
      <c r="C1214">
        <f>+B1212-B1203</f>
        <v>74520.490000000005</v>
      </c>
    </row>
    <row r="1216" spans="1:3">
      <c r="A1216" t="s">
        <v>132</v>
      </c>
      <c r="B1216" t="s">
        <v>5</v>
      </c>
      <c r="C1216">
        <f>SUMIF(A1204:A1212,"&lt;0")</f>
        <v>-296972.48</v>
      </c>
    </row>
    <row r="1217" spans="1:3">
      <c r="A1217" t="str">
        <f>"SPY " &amp; COUNT(C1204:C1212) * 100 &amp; "股"</f>
        <v>SPY 400股</v>
      </c>
      <c r="B1217" t="s">
        <v>6</v>
      </c>
      <c r="C1217">
        <f>SUMIF(A1204:A1212,"&gt;0")-A1210</f>
        <v>297132.01999999996</v>
      </c>
    </row>
    <row r="1218" spans="1:3">
      <c r="B1218" t="s">
        <v>114</v>
      </c>
      <c r="C1218">
        <f>+C1216+C1217</f>
        <v>159.53999999997905</v>
      </c>
    </row>
    <row r="1219" spans="1:3">
      <c r="B1219" t="s">
        <v>115</v>
      </c>
      <c r="C1219">
        <f>C1218/ABS(C1216)</f>
        <v>5.3722149607929683E-4</v>
      </c>
    </row>
    <row r="1221" spans="1:3">
      <c r="A1221" t="s">
        <v>133</v>
      </c>
      <c r="B1221" t="s">
        <v>55</v>
      </c>
      <c r="C1221">
        <f>C1200</f>
        <v>-74653</v>
      </c>
    </row>
    <row r="1222" spans="1:3">
      <c r="A1222" t="s">
        <v>134</v>
      </c>
      <c r="B1222" t="s">
        <v>55</v>
      </c>
      <c r="C1222">
        <v>74360.95</v>
      </c>
    </row>
    <row r="1223" spans="1:3">
      <c r="B1223" t="s">
        <v>33</v>
      </c>
      <c r="C1223">
        <f>+C1221+C1222</f>
        <v>-292.05000000000291</v>
      </c>
    </row>
    <row r="1224" spans="1:3">
      <c r="B1224" t="s">
        <v>34</v>
      </c>
      <c r="C1224">
        <f>C1223/ABS(C1221)</f>
        <v>-3.9120999825861371E-3</v>
      </c>
    </row>
    <row r="1226" spans="1:3">
      <c r="A1226" t="s">
        <v>10</v>
      </c>
    </row>
    <row r="1227" spans="1:3">
      <c r="A1227" t="s">
        <v>130</v>
      </c>
      <c r="B1227" t="s">
        <v>12</v>
      </c>
      <c r="C1227">
        <f>C1198</f>
        <v>-74937</v>
      </c>
    </row>
    <row r="1228" spans="1:3">
      <c r="A1228" t="s">
        <v>130</v>
      </c>
      <c r="B1228" t="s">
        <v>12</v>
      </c>
      <c r="C1228">
        <f>C1199</f>
        <v>-74845</v>
      </c>
    </row>
    <row r="1231" spans="1:3">
      <c r="A1231" s="58" t="s">
        <v>135</v>
      </c>
      <c r="B1231" s="58">
        <v>-41429.96</v>
      </c>
      <c r="C1231" s="58" t="s">
        <v>1</v>
      </c>
    </row>
    <row r="1232" spans="1:3">
      <c r="A1232" s="58">
        <v>-74453.5</v>
      </c>
      <c r="B1232" s="58">
        <f t="shared" ref="B1232:B1258" si="35">+B1231+A1232</f>
        <v>-115883.45999999999</v>
      </c>
      <c r="C1232" s="58"/>
    </row>
    <row r="1233" spans="1:3">
      <c r="A1233" s="58">
        <v>74517.460000000006</v>
      </c>
      <c r="B1233" s="58">
        <f t="shared" si="35"/>
        <v>-41365.999999999985</v>
      </c>
      <c r="C1233" s="58">
        <v>63.96</v>
      </c>
    </row>
    <row r="1234" spans="1:3">
      <c r="A1234" s="58">
        <v>-74671.990000000005</v>
      </c>
      <c r="B1234" s="58">
        <f t="shared" si="35"/>
        <v>-116037.98999999999</v>
      </c>
      <c r="C1234" s="58"/>
    </row>
    <row r="1235" spans="1:3">
      <c r="A1235" s="58">
        <v>74555.42</v>
      </c>
      <c r="B1235" s="58">
        <f t="shared" si="35"/>
        <v>-41482.569999999992</v>
      </c>
      <c r="C1235" s="58">
        <v>-116.57</v>
      </c>
    </row>
    <row r="1236" spans="1:3">
      <c r="A1236" s="58">
        <v>-74527</v>
      </c>
      <c r="B1236" s="58">
        <f t="shared" si="35"/>
        <v>-116009.56999999999</v>
      </c>
      <c r="C1236" s="58"/>
    </row>
    <row r="1237" spans="1:3">
      <c r="A1237" s="58">
        <v>74496.95</v>
      </c>
      <c r="B1237" s="58">
        <f t="shared" si="35"/>
        <v>-41512.619999999995</v>
      </c>
      <c r="C1237" s="58">
        <v>-30.05</v>
      </c>
    </row>
    <row r="1238" spans="1:3">
      <c r="A1238" s="58">
        <v>-74417.600000000006</v>
      </c>
      <c r="B1238" s="58">
        <f t="shared" si="35"/>
        <v>-115930.22</v>
      </c>
      <c r="C1238" s="58"/>
    </row>
    <row r="1239" spans="1:3">
      <c r="A1239" s="58">
        <v>74383.460000000006</v>
      </c>
      <c r="B1239" s="58">
        <f t="shared" si="35"/>
        <v>-41546.759999999995</v>
      </c>
      <c r="C1239" s="58">
        <v>-34.14</v>
      </c>
    </row>
    <row r="1240" spans="1:3">
      <c r="A1240" s="58">
        <v>-74291.5</v>
      </c>
      <c r="B1240" s="58">
        <f t="shared" si="35"/>
        <v>-115838.26</v>
      </c>
      <c r="C1240" s="58"/>
    </row>
    <row r="1241" spans="1:3">
      <c r="A1241" s="58">
        <v>-8890.6200000000008</v>
      </c>
      <c r="B1241" s="58">
        <f t="shared" si="35"/>
        <v>-124728.87999999999</v>
      </c>
      <c r="C1241" s="58"/>
    </row>
    <row r="1242" spans="1:3">
      <c r="A1242" s="58">
        <v>-65199.11</v>
      </c>
      <c r="B1242" s="58">
        <f t="shared" si="35"/>
        <v>-189927.99</v>
      </c>
      <c r="C1242" s="58"/>
    </row>
    <row r="1243" spans="1:3">
      <c r="A1243" s="58">
        <v>29562.18</v>
      </c>
      <c r="B1243" s="58">
        <f t="shared" si="35"/>
        <v>-160365.81</v>
      </c>
      <c r="C1243" s="58"/>
    </row>
    <row r="1244" spans="1:3">
      <c r="A1244" s="58">
        <v>44342.14</v>
      </c>
      <c r="B1244" s="58">
        <f t="shared" si="35"/>
        <v>-116023.67</v>
      </c>
      <c r="C1244" s="58">
        <v>-185.41</v>
      </c>
    </row>
    <row r="1245" spans="1:3">
      <c r="A1245" s="58">
        <v>-73548.899999999994</v>
      </c>
      <c r="B1245" s="58">
        <f t="shared" si="35"/>
        <v>-189572.57</v>
      </c>
      <c r="C1245" s="58"/>
    </row>
    <row r="1246" spans="1:3">
      <c r="A1246" s="58">
        <v>73569.460000000006</v>
      </c>
      <c r="B1246" s="58">
        <f t="shared" si="35"/>
        <v>-116003.11</v>
      </c>
      <c r="C1246" s="58">
        <v>20.56</v>
      </c>
    </row>
    <row r="1247" spans="1:3">
      <c r="A1247" s="58">
        <v>-73659.990000000005</v>
      </c>
      <c r="B1247" s="58">
        <f t="shared" si="35"/>
        <v>-189663.1</v>
      </c>
      <c r="C1247" s="58"/>
    </row>
    <row r="1248" spans="1:3">
      <c r="A1248" s="58">
        <v>73595.960000000006</v>
      </c>
      <c r="B1248" s="58">
        <f t="shared" si="35"/>
        <v>-116067.14</v>
      </c>
      <c r="C1248" s="58">
        <v>-64.03</v>
      </c>
    </row>
    <row r="1249" spans="1:3">
      <c r="A1249" s="58">
        <v>-73649</v>
      </c>
      <c r="B1249" s="58">
        <f t="shared" si="35"/>
        <v>-189716.14</v>
      </c>
      <c r="C1249" s="58"/>
    </row>
    <row r="1250" spans="1:3">
      <c r="A1250" s="58">
        <v>59678.12</v>
      </c>
      <c r="B1250" s="58">
        <f t="shared" si="35"/>
        <v>-130038.02000000002</v>
      </c>
      <c r="C1250" s="58"/>
    </row>
    <row r="1251" spans="1:3">
      <c r="A1251" s="58">
        <v>13998.58</v>
      </c>
      <c r="B1251" s="58">
        <f t="shared" si="35"/>
        <v>-116039.44000000002</v>
      </c>
      <c r="C1251" s="58">
        <v>27.7</v>
      </c>
    </row>
    <row r="1252" spans="1:3">
      <c r="A1252" s="58">
        <v>-73735.5</v>
      </c>
      <c r="B1252" s="58">
        <f t="shared" si="35"/>
        <v>-189774.94</v>
      </c>
      <c r="C1252" s="58"/>
    </row>
    <row r="1253" spans="1:3">
      <c r="A1253" s="58">
        <v>73779.460000000006</v>
      </c>
      <c r="B1253" s="58">
        <f t="shared" si="35"/>
        <v>-115995.48</v>
      </c>
      <c r="C1253" s="58">
        <v>43.96</v>
      </c>
    </row>
    <row r="1254" spans="1:3">
      <c r="A1254" s="58">
        <v>-29504.799999999999</v>
      </c>
      <c r="B1254" s="58">
        <f t="shared" si="35"/>
        <v>-145500.28</v>
      </c>
      <c r="C1254" s="58"/>
    </row>
    <row r="1255" spans="1:3">
      <c r="A1255" s="58">
        <v>-44257.19</v>
      </c>
      <c r="B1255" s="58">
        <f t="shared" si="35"/>
        <v>-189757.47</v>
      </c>
      <c r="C1255" s="58"/>
    </row>
    <row r="1256" spans="1:3">
      <c r="A1256" s="58">
        <v>73793.960000000006</v>
      </c>
      <c r="B1256" s="58">
        <f t="shared" si="35"/>
        <v>-115963.51</v>
      </c>
      <c r="C1256" s="58">
        <v>31.97</v>
      </c>
    </row>
    <row r="1257" spans="1:3">
      <c r="A1257" s="58">
        <v>-72494.990000000005</v>
      </c>
      <c r="B1257" s="58">
        <f t="shared" si="35"/>
        <v>-188458.5</v>
      </c>
      <c r="C1257" s="58"/>
    </row>
    <row r="1258" spans="1:3">
      <c r="A1258" s="58">
        <v>72483.990000000005</v>
      </c>
      <c r="B1258" s="58">
        <f t="shared" si="35"/>
        <v>-115974.51</v>
      </c>
      <c r="C1258" s="58">
        <v>-11</v>
      </c>
    </row>
    <row r="1259" spans="1:3">
      <c r="A1259" s="58"/>
      <c r="B1259" s="58" t="s">
        <v>2</v>
      </c>
      <c r="C1259" s="58">
        <f>SUM(C1232:C1258)</f>
        <v>-253.04999999999998</v>
      </c>
    </row>
    <row r="1260" spans="1:3">
      <c r="A1260" s="58"/>
      <c r="B1260" s="58" t="s">
        <v>3</v>
      </c>
      <c r="C1260" s="58">
        <f>+B1258-B1231-A1240-A1241</f>
        <v>8637.5700000000124</v>
      </c>
    </row>
    <row r="1262" spans="1:3">
      <c r="A1262" t="s">
        <v>136</v>
      </c>
      <c r="B1262" t="s">
        <v>5</v>
      </c>
      <c r="C1262" s="58">
        <f>SUMIF(A1232:A1258,"&lt;0")-A1240</f>
        <v>-813010.19</v>
      </c>
    </row>
    <row r="1263" spans="1:3">
      <c r="A1263" t="str">
        <f>"SPY " &amp; COUNT(C1232:C1258) * 100 &amp; "股"</f>
        <v>SPY 1100股</v>
      </c>
      <c r="B1263" t="s">
        <v>6</v>
      </c>
      <c r="C1263" s="58">
        <f>SUMIF(A1232:A1258,"&gt;0")</f>
        <v>812757.14</v>
      </c>
    </row>
    <row r="1264" spans="1:3">
      <c r="B1264" t="s">
        <v>7</v>
      </c>
      <c r="C1264" s="58">
        <f>+C1262+C1263</f>
        <v>-253.04999999993015</v>
      </c>
    </row>
    <row r="1265" spans="1:3">
      <c r="B1265" t="s">
        <v>8</v>
      </c>
      <c r="C1265" s="38">
        <f>C1264/ABS(C1262)</f>
        <v>-3.1125071138398666E-4</v>
      </c>
    </row>
    <row r="1267" spans="1:3">
      <c r="A1267" t="s">
        <v>129</v>
      </c>
    </row>
    <row r="1268" spans="1:3">
      <c r="A1268" t="s">
        <v>130</v>
      </c>
      <c r="B1268" t="s">
        <v>12</v>
      </c>
      <c r="C1268" s="58">
        <f>C1227</f>
        <v>-74937</v>
      </c>
    </row>
    <row r="1269" spans="1:3">
      <c r="A1269" t="s">
        <v>130</v>
      </c>
      <c r="B1269" t="s">
        <v>12</v>
      </c>
      <c r="C1269" s="58">
        <f>C1228</f>
        <v>-74845</v>
      </c>
    </row>
    <row r="1270" spans="1:3">
      <c r="A1270" t="s">
        <v>137</v>
      </c>
      <c r="B1270" t="s">
        <v>12</v>
      </c>
      <c r="C1270" s="58">
        <v>-74291.5</v>
      </c>
    </row>
    <row r="1273" spans="1:3">
      <c r="A1273" t="s">
        <v>138</v>
      </c>
      <c r="B1273">
        <v>-41683.01</v>
      </c>
      <c r="C1273" t="s">
        <v>1</v>
      </c>
    </row>
    <row r="1274" spans="1:3">
      <c r="A1274">
        <v>-73466</v>
      </c>
      <c r="B1274">
        <f t="shared" ref="B1274:B1302" si="36">+B1273+A1274</f>
        <v>-115149.01000000001</v>
      </c>
    </row>
    <row r="1275" spans="1:3">
      <c r="A1275">
        <v>73550.47</v>
      </c>
      <c r="B1275">
        <f t="shared" si="36"/>
        <v>-41598.540000000008</v>
      </c>
      <c r="C1275">
        <v>84.47</v>
      </c>
    </row>
    <row r="1276" spans="1:3">
      <c r="A1276">
        <v>-73523.5</v>
      </c>
      <c r="B1276">
        <f t="shared" si="36"/>
        <v>-115122.04000000001</v>
      </c>
    </row>
    <row r="1277" spans="1:3">
      <c r="A1277">
        <v>73545.460000000006</v>
      </c>
      <c r="B1277">
        <f t="shared" si="36"/>
        <v>-41576.58</v>
      </c>
      <c r="C1277">
        <v>21.96</v>
      </c>
    </row>
    <row r="1278" spans="1:3">
      <c r="A1278">
        <v>-73601</v>
      </c>
      <c r="B1278">
        <f t="shared" si="36"/>
        <v>-115177.58</v>
      </c>
    </row>
    <row r="1279" spans="1:3">
      <c r="A1279">
        <v>73640.460000000006</v>
      </c>
      <c r="B1279">
        <f t="shared" si="36"/>
        <v>-41537.119999999995</v>
      </c>
      <c r="C1279">
        <v>39.46</v>
      </c>
    </row>
    <row r="1280" spans="1:3">
      <c r="A1280">
        <v>-73664</v>
      </c>
      <c r="B1280">
        <f t="shared" si="36"/>
        <v>-115201.12</v>
      </c>
    </row>
    <row r="1281" spans="1:3">
      <c r="A1281">
        <v>73677.47</v>
      </c>
      <c r="B1281">
        <f t="shared" si="36"/>
        <v>-41523.649999999994</v>
      </c>
      <c r="C1281">
        <v>13.47</v>
      </c>
    </row>
    <row r="1282" spans="1:3">
      <c r="A1282">
        <v>-73686</v>
      </c>
      <c r="B1282">
        <f t="shared" si="36"/>
        <v>-115209.65</v>
      </c>
    </row>
    <row r="1283" spans="1:3">
      <c r="A1283">
        <v>73720.460000000006</v>
      </c>
      <c r="B1283">
        <f t="shared" si="36"/>
        <v>-41489.189999999988</v>
      </c>
      <c r="C1283">
        <v>34.46</v>
      </c>
    </row>
    <row r="1284" spans="1:3">
      <c r="A1284">
        <v>-73622.509999999995</v>
      </c>
      <c r="B1284">
        <f t="shared" si="36"/>
        <v>-115111.69999999998</v>
      </c>
    </row>
    <row r="1285" spans="1:3">
      <c r="A1285">
        <v>73639.460000000006</v>
      </c>
      <c r="B1285">
        <f t="shared" si="36"/>
        <v>-41472.239999999976</v>
      </c>
      <c r="C1285">
        <v>16.95</v>
      </c>
    </row>
    <row r="1286" spans="1:3">
      <c r="A1286">
        <v>-29464.400000000001</v>
      </c>
      <c r="B1286">
        <f t="shared" si="36"/>
        <v>-70936.639999999985</v>
      </c>
    </row>
    <row r="1287" spans="1:3">
      <c r="A1287">
        <v>-29464.6</v>
      </c>
      <c r="B1287">
        <f t="shared" si="36"/>
        <v>-100401.23999999999</v>
      </c>
    </row>
    <row r="1288" spans="1:3">
      <c r="A1288">
        <v>-14732.4</v>
      </c>
      <c r="B1288">
        <f t="shared" si="36"/>
        <v>-115133.63999999998</v>
      </c>
    </row>
    <row r="1289" spans="1:3">
      <c r="A1289">
        <v>73707.460000000006</v>
      </c>
      <c r="B1289">
        <f t="shared" si="36"/>
        <v>-41426.179999999978</v>
      </c>
      <c r="C1289">
        <v>46.06</v>
      </c>
    </row>
    <row r="1290" spans="1:3">
      <c r="A1290">
        <v>-73719.5</v>
      </c>
      <c r="B1290">
        <f t="shared" si="36"/>
        <v>-115145.67999999998</v>
      </c>
    </row>
    <row r="1291" spans="1:3">
      <c r="A1291">
        <v>73719.47</v>
      </c>
      <c r="B1291">
        <f t="shared" si="36"/>
        <v>-41426.209999999977</v>
      </c>
      <c r="C1291">
        <v>-0.03</v>
      </c>
    </row>
    <row r="1292" spans="1:3">
      <c r="A1292">
        <v>-1471.22</v>
      </c>
      <c r="B1292">
        <f t="shared" si="36"/>
        <v>-42897.429999999978</v>
      </c>
    </row>
    <row r="1293" spans="1:3">
      <c r="A1293">
        <v>-735.61</v>
      </c>
      <c r="B1293">
        <f t="shared" si="36"/>
        <v>-43633.039999999979</v>
      </c>
    </row>
    <row r="1294" spans="1:3">
      <c r="A1294">
        <v>-6620.58</v>
      </c>
      <c r="B1294">
        <f t="shared" si="36"/>
        <v>-50253.619999999981</v>
      </c>
    </row>
    <row r="1295" spans="1:3">
      <c r="A1295">
        <v>-1471.24</v>
      </c>
      <c r="B1295">
        <f t="shared" si="36"/>
        <v>-51724.859999999979</v>
      </c>
    </row>
    <row r="1296" spans="1:3">
      <c r="A1296">
        <v>-5884.95</v>
      </c>
      <c r="B1296">
        <f t="shared" si="36"/>
        <v>-57609.809999999976</v>
      </c>
    </row>
    <row r="1297" spans="1:3">
      <c r="A1297">
        <v>-57378.35</v>
      </c>
      <c r="B1297">
        <f t="shared" si="36"/>
        <v>-114988.15999999997</v>
      </c>
    </row>
    <row r="1298" spans="1:3">
      <c r="A1298">
        <v>73536.97</v>
      </c>
      <c r="B1298">
        <f t="shared" si="36"/>
        <v>-41451.189999999973</v>
      </c>
      <c r="C1298">
        <v>-24.98</v>
      </c>
    </row>
    <row r="1299" spans="1:3">
      <c r="A1299">
        <v>-73225.460000000006</v>
      </c>
      <c r="B1299">
        <f t="shared" si="36"/>
        <v>-114676.64999999998</v>
      </c>
    </row>
    <row r="1300" spans="1:3">
      <c r="A1300">
        <v>73189.47</v>
      </c>
      <c r="B1300">
        <f t="shared" si="36"/>
        <v>-41487.179999999978</v>
      </c>
      <c r="C1300">
        <v>-35.99</v>
      </c>
    </row>
    <row r="1301" spans="1:3">
      <c r="A1301">
        <v>-73083.75</v>
      </c>
      <c r="B1301">
        <f t="shared" si="36"/>
        <v>-114570.92999999998</v>
      </c>
    </row>
    <row r="1302" spans="1:3">
      <c r="A1302">
        <v>73083.570000000007</v>
      </c>
      <c r="B1302">
        <f t="shared" si="36"/>
        <v>-41487.359999999971</v>
      </c>
      <c r="C1302">
        <v>-0.18</v>
      </c>
    </row>
    <row r="1303" spans="1:3">
      <c r="B1303" t="s">
        <v>2</v>
      </c>
      <c r="C1303">
        <f>SUM(C1274:C1302)</f>
        <v>195.65000000000006</v>
      </c>
    </row>
    <row r="1304" spans="1:3">
      <c r="B1304" t="s">
        <v>3</v>
      </c>
      <c r="C1304">
        <f>+B1302-B1273</f>
        <v>195.65000000003056</v>
      </c>
    </row>
    <row r="1306" spans="1:3">
      <c r="A1306" t="s">
        <v>139</v>
      </c>
      <c r="B1306" t="s">
        <v>5</v>
      </c>
      <c r="C1306" s="58">
        <f>SUMIF(A1274:A1302,"&lt;0")</f>
        <v>-808815.06999999983</v>
      </c>
    </row>
    <row r="1307" spans="1:3">
      <c r="A1307" t="str">
        <f>"SPY " &amp; COUNT(C1274:C1302) * 100 &amp; "股"</f>
        <v>SPY 1100股</v>
      </c>
      <c r="B1307" t="s">
        <v>6</v>
      </c>
      <c r="C1307" s="58">
        <f>SUMIF(A1274:A1302,"&gt;0")</f>
        <v>809010.72</v>
      </c>
    </row>
    <row r="1308" spans="1:3">
      <c r="B1308" t="s">
        <v>7</v>
      </c>
      <c r="C1308" s="58">
        <f>+C1306+C1307</f>
        <v>195.6500000001397</v>
      </c>
    </row>
    <row r="1309" spans="1:3">
      <c r="B1309" t="s">
        <v>8</v>
      </c>
      <c r="C1309" s="38">
        <f>C1308/ABS(C1306)</f>
        <v>2.4189707543423953E-4</v>
      </c>
    </row>
    <row r="1311" spans="1:3">
      <c r="A1311" t="s">
        <v>129</v>
      </c>
    </row>
    <row r="1312" spans="1:3">
      <c r="A1312" t="s">
        <v>130</v>
      </c>
      <c r="B1312" t="s">
        <v>12</v>
      </c>
      <c r="C1312" s="58">
        <f>C1268</f>
        <v>-74937</v>
      </c>
    </row>
    <row r="1313" spans="1:3">
      <c r="A1313" t="s">
        <v>130</v>
      </c>
      <c r="B1313" t="s">
        <v>12</v>
      </c>
      <c r="C1313" s="58">
        <f>C1269</f>
        <v>-74845</v>
      </c>
    </row>
    <row r="1314" spans="1:3">
      <c r="A1314" t="s">
        <v>137</v>
      </c>
      <c r="B1314" t="s">
        <v>12</v>
      </c>
      <c r="C1314" s="58">
        <f>C1270</f>
        <v>-74291.5</v>
      </c>
    </row>
    <row r="1317" spans="1:3">
      <c r="A1317" t="s">
        <v>140</v>
      </c>
      <c r="B1317">
        <v>-116655.63</v>
      </c>
      <c r="C1317" t="s">
        <v>1</v>
      </c>
    </row>
    <row r="1318" spans="1:3">
      <c r="A1318">
        <v>-72778.5</v>
      </c>
      <c r="B1318">
        <f t="shared" ref="B1318:B1336" si="37">+B1317+A1318</f>
        <v>-189434.13</v>
      </c>
    </row>
    <row r="1319" spans="1:3">
      <c r="A1319">
        <v>72919.48</v>
      </c>
      <c r="B1319">
        <f t="shared" si="37"/>
        <v>-116514.65000000001</v>
      </c>
      <c r="C1319">
        <v>140.97999999999999</v>
      </c>
    </row>
    <row r="1320" spans="1:3">
      <c r="A1320">
        <v>-73051</v>
      </c>
      <c r="B1320">
        <f t="shared" si="37"/>
        <v>-189565.65000000002</v>
      </c>
    </row>
    <row r="1321" spans="1:3">
      <c r="A1321">
        <v>73090.47</v>
      </c>
      <c r="B1321">
        <f t="shared" si="37"/>
        <v>-116475.18000000002</v>
      </c>
      <c r="C1321">
        <v>39.47</v>
      </c>
    </row>
    <row r="1322" spans="1:3">
      <c r="A1322">
        <v>-72703</v>
      </c>
      <c r="B1322">
        <f t="shared" si="37"/>
        <v>-189178.18000000002</v>
      </c>
    </row>
    <row r="1323" spans="1:3">
      <c r="A1323">
        <v>72853.48</v>
      </c>
      <c r="B1323">
        <f t="shared" si="37"/>
        <v>-116324.70000000003</v>
      </c>
      <c r="C1323">
        <v>150.47999999999999</v>
      </c>
    </row>
    <row r="1324" spans="1:3">
      <c r="A1324">
        <v>-72909</v>
      </c>
      <c r="B1324">
        <f t="shared" si="37"/>
        <v>-189233.7</v>
      </c>
    </row>
    <row r="1325" spans="1:3">
      <c r="A1325">
        <v>72865.48</v>
      </c>
      <c r="B1325">
        <f t="shared" si="37"/>
        <v>-116368.22000000002</v>
      </c>
      <c r="C1325">
        <v>-43.52</v>
      </c>
    </row>
    <row r="1326" spans="1:3">
      <c r="A1326">
        <v>-72985.899999999994</v>
      </c>
      <c r="B1326">
        <f t="shared" si="37"/>
        <v>-189354.12</v>
      </c>
    </row>
    <row r="1327" spans="1:3">
      <c r="A1327">
        <v>72965.570000000007</v>
      </c>
      <c r="B1327">
        <f t="shared" si="37"/>
        <v>-116388.54999999999</v>
      </c>
      <c r="C1327">
        <v>-20.329999999999998</v>
      </c>
    </row>
    <row r="1328" spans="1:3">
      <c r="A1328">
        <v>-72643.48</v>
      </c>
      <c r="B1328">
        <f t="shared" si="37"/>
        <v>-189032.02999999997</v>
      </c>
    </row>
    <row r="1329" spans="1:3">
      <c r="A1329">
        <v>72690.880000000005</v>
      </c>
      <c r="B1329">
        <f t="shared" si="37"/>
        <v>-116341.14999999997</v>
      </c>
      <c r="C1329">
        <v>47.4</v>
      </c>
    </row>
    <row r="1330" spans="1:3">
      <c r="A1330">
        <v>-72702.990000000005</v>
      </c>
      <c r="B1330">
        <f t="shared" si="37"/>
        <v>-189044.13999999996</v>
      </c>
    </row>
    <row r="1331" spans="1:3">
      <c r="A1331">
        <v>72709.98</v>
      </c>
      <c r="B1331">
        <f t="shared" si="37"/>
        <v>-116334.15999999996</v>
      </c>
      <c r="C1331">
        <v>6.99</v>
      </c>
    </row>
    <row r="1332" spans="1:3">
      <c r="A1332">
        <v>-72707.990000000005</v>
      </c>
      <c r="B1332">
        <f t="shared" si="37"/>
        <v>-189042.14999999997</v>
      </c>
    </row>
    <row r="1333" spans="1:3">
      <c r="A1333">
        <v>72749.48</v>
      </c>
      <c r="B1333">
        <f t="shared" si="37"/>
        <v>-116292.66999999997</v>
      </c>
      <c r="C1333">
        <v>41.49</v>
      </c>
    </row>
    <row r="1334" spans="1:3">
      <c r="A1334">
        <v>-72794.59</v>
      </c>
      <c r="B1334">
        <f t="shared" si="37"/>
        <v>-189087.25999999995</v>
      </c>
    </row>
    <row r="1335" spans="1:3">
      <c r="A1335">
        <v>-72853.5</v>
      </c>
      <c r="B1335">
        <f t="shared" si="37"/>
        <v>-261940.75999999995</v>
      </c>
    </row>
    <row r="1336" spans="1:3">
      <c r="A1336">
        <v>72981.48</v>
      </c>
      <c r="B1336" s="37">
        <f t="shared" si="37"/>
        <v>-188959.27999999997</v>
      </c>
      <c r="C1336">
        <v>127.98</v>
      </c>
    </row>
    <row r="1337" spans="1:3">
      <c r="B1337" t="s">
        <v>2</v>
      </c>
      <c r="C1337">
        <f>SUM(C1318:C1336)</f>
        <v>490.94</v>
      </c>
    </row>
    <row r="1338" spans="1:3">
      <c r="B1338" t="s">
        <v>3</v>
      </c>
      <c r="C1338" s="37">
        <f>+B1336-B1317-A1334</f>
        <v>490.94000000003143</v>
      </c>
    </row>
    <row r="1340" spans="1:3">
      <c r="A1340" t="s">
        <v>141</v>
      </c>
      <c r="B1340" t="s">
        <v>5</v>
      </c>
      <c r="C1340">
        <f>SUMIF(A1318:A1336,"&lt;0")-A1334</f>
        <v>-655335.36</v>
      </c>
    </row>
    <row r="1341" spans="1:3">
      <c r="A1341" t="str">
        <f>"SPY " &amp; COUNT(C1318:C1336) * 100 &amp; "股"</f>
        <v>SPY 900股</v>
      </c>
      <c r="B1341" t="s">
        <v>6</v>
      </c>
      <c r="C1341">
        <f>SUMIF(A1318:A1336,"&gt;0")</f>
        <v>655826.29999999993</v>
      </c>
    </row>
    <row r="1342" spans="1:3">
      <c r="B1342" t="s">
        <v>7</v>
      </c>
      <c r="C1342">
        <f>+C1340+C1341</f>
        <v>490.93999999994412</v>
      </c>
    </row>
    <row r="1343" spans="1:3">
      <c r="B1343" t="s">
        <v>8</v>
      </c>
      <c r="C1343">
        <f>C1342/ABS(C1340)</f>
        <v>7.4914315626116088E-4</v>
      </c>
    </row>
    <row r="1345" spans="1:3">
      <c r="A1345" t="s">
        <v>142</v>
      </c>
    </row>
    <row r="1346" spans="1:3">
      <c r="A1346" t="s">
        <v>130</v>
      </c>
      <c r="B1346" t="s">
        <v>12</v>
      </c>
      <c r="C1346">
        <f>C1312</f>
        <v>-74937</v>
      </c>
    </row>
    <row r="1347" spans="1:3">
      <c r="A1347" t="s">
        <v>130</v>
      </c>
      <c r="B1347" t="s">
        <v>12</v>
      </c>
      <c r="C1347">
        <f>C1313</f>
        <v>-74845</v>
      </c>
    </row>
    <row r="1348" spans="1:3">
      <c r="A1348" t="s">
        <v>137</v>
      </c>
      <c r="B1348" t="s">
        <v>12</v>
      </c>
      <c r="C1348">
        <f>C1314</f>
        <v>-74291.5</v>
      </c>
    </row>
    <row r="1349" spans="1:3">
      <c r="A1349" t="s">
        <v>143</v>
      </c>
      <c r="B1349" t="s">
        <v>12</v>
      </c>
      <c r="C1349">
        <v>-72794.59</v>
      </c>
    </row>
    <row r="1351" spans="1:3">
      <c r="A1351" t="s">
        <v>144</v>
      </c>
      <c r="B1351">
        <v>-116164.69</v>
      </c>
      <c r="C1351" t="s">
        <v>1</v>
      </c>
    </row>
    <row r="1352" spans="1:3">
      <c r="A1352">
        <v>-73885.899999999994</v>
      </c>
      <c r="B1352">
        <f t="shared" ref="B1352:B1365" si="38">+B1351+A1352</f>
        <v>-190050.59</v>
      </c>
    </row>
    <row r="1353" spans="1:3">
      <c r="A1353">
        <v>73938.47</v>
      </c>
      <c r="B1353">
        <f t="shared" si="38"/>
        <v>-116112.12</v>
      </c>
      <c r="C1353">
        <v>52.57</v>
      </c>
    </row>
    <row r="1354" spans="1:3">
      <c r="A1354">
        <v>-73931.929999999993</v>
      </c>
      <c r="B1354">
        <f t="shared" si="38"/>
        <v>-190044.05</v>
      </c>
    </row>
    <row r="1355" spans="1:3">
      <c r="A1355">
        <v>74049.850000000006</v>
      </c>
      <c r="B1355">
        <f t="shared" si="38"/>
        <v>-115994.19999999998</v>
      </c>
      <c r="C1355">
        <v>117.92</v>
      </c>
    </row>
    <row r="1356" spans="1:3">
      <c r="A1356">
        <v>-74160.5</v>
      </c>
      <c r="B1356">
        <f t="shared" si="38"/>
        <v>-190154.69999999998</v>
      </c>
    </row>
    <row r="1357" spans="1:3">
      <c r="A1357">
        <v>74095.33</v>
      </c>
      <c r="B1357">
        <f t="shared" si="38"/>
        <v>-116059.36999999998</v>
      </c>
      <c r="C1357">
        <v>-65.17</v>
      </c>
    </row>
    <row r="1358" spans="1:3">
      <c r="A1358">
        <v>-74071.5</v>
      </c>
      <c r="B1358">
        <f t="shared" si="38"/>
        <v>-190130.87</v>
      </c>
    </row>
    <row r="1359" spans="1:3">
      <c r="A1359">
        <v>74092.95</v>
      </c>
      <c r="B1359">
        <f t="shared" si="38"/>
        <v>-116037.92</v>
      </c>
      <c r="C1359">
        <v>21.45</v>
      </c>
    </row>
    <row r="1360" spans="1:3">
      <c r="A1360">
        <v>-74076</v>
      </c>
      <c r="B1360">
        <f t="shared" si="38"/>
        <v>-190113.91999999998</v>
      </c>
    </row>
    <row r="1361" spans="1:3">
      <c r="A1361">
        <v>74038.45</v>
      </c>
      <c r="B1361">
        <f t="shared" si="38"/>
        <v>-116075.46999999999</v>
      </c>
      <c r="C1361">
        <v>-37.549999999999997</v>
      </c>
    </row>
    <row r="1362" spans="1:3">
      <c r="A1362">
        <v>-74076</v>
      </c>
      <c r="B1362">
        <f t="shared" si="38"/>
        <v>-190151.46999999997</v>
      </c>
    </row>
    <row r="1363" spans="1:3">
      <c r="A1363">
        <v>74136.740000000005</v>
      </c>
      <c r="B1363">
        <f t="shared" si="38"/>
        <v>-116014.72999999997</v>
      </c>
      <c r="C1363">
        <v>60.74</v>
      </c>
    </row>
    <row r="1364" spans="1:3">
      <c r="A1364">
        <v>-74172.990000000005</v>
      </c>
      <c r="B1364">
        <f t="shared" si="38"/>
        <v>-190187.71999999997</v>
      </c>
    </row>
    <row r="1365" spans="1:3">
      <c r="A1365">
        <v>74197.45</v>
      </c>
      <c r="B1365">
        <f t="shared" si="38"/>
        <v>-115990.26999999997</v>
      </c>
      <c r="C1365">
        <v>24.46</v>
      </c>
    </row>
    <row r="1366" spans="1:3">
      <c r="B1366" t="s">
        <v>2</v>
      </c>
      <c r="C1366">
        <f>SUM(C1352:C1365)</f>
        <v>174.42000000000002</v>
      </c>
    </row>
    <row r="1367" spans="1:3">
      <c r="B1367" t="s">
        <v>3</v>
      </c>
      <c r="C1367">
        <f>+B1365-B1351</f>
        <v>174.42000000002736</v>
      </c>
    </row>
    <row r="1369" spans="1:3">
      <c r="A1369" t="s">
        <v>145</v>
      </c>
      <c r="B1369" t="s">
        <v>5</v>
      </c>
      <c r="C1369">
        <f>SUMIF(A1352:A1365,"&lt;0")</f>
        <v>-518374.81999999995</v>
      </c>
    </row>
    <row r="1370" spans="1:3">
      <c r="A1370" t="str">
        <f>"SPY " &amp; COUNT(C1352:C1365) * 100 &amp; "股"</f>
        <v>SPY 700股</v>
      </c>
      <c r="B1370" t="s">
        <v>6</v>
      </c>
      <c r="C1370">
        <f>SUMIF(A1352:A1365,"&gt;0")</f>
        <v>518549.24000000005</v>
      </c>
    </row>
    <row r="1371" spans="1:3">
      <c r="B1371" t="s">
        <v>146</v>
      </c>
      <c r="C1371">
        <f>+C1369+C1370</f>
        <v>174.42000000010012</v>
      </c>
    </row>
    <row r="1372" spans="1:3">
      <c r="B1372" t="s">
        <v>147</v>
      </c>
      <c r="C1372">
        <f>C1371/ABS(C1369)</f>
        <v>3.3647467676014843E-4</v>
      </c>
    </row>
    <row r="1374" spans="1:3">
      <c r="A1374" t="s">
        <v>148</v>
      </c>
    </row>
    <row r="1375" spans="1:3">
      <c r="A1375" t="s">
        <v>130</v>
      </c>
      <c r="B1375" t="s">
        <v>12</v>
      </c>
      <c r="C1375">
        <f>C1346</f>
        <v>-74937</v>
      </c>
    </row>
    <row r="1376" spans="1:3">
      <c r="A1376" t="s">
        <v>130</v>
      </c>
      <c r="B1376" t="s">
        <v>12</v>
      </c>
      <c r="C1376">
        <f>C1347</f>
        <v>-74845</v>
      </c>
    </row>
    <row r="1377" spans="1:3">
      <c r="A1377" t="s">
        <v>137</v>
      </c>
      <c r="B1377" t="s">
        <v>12</v>
      </c>
      <c r="C1377">
        <f>C1348</f>
        <v>-74291.5</v>
      </c>
    </row>
    <row r="1378" spans="1:3">
      <c r="A1378" t="s">
        <v>143</v>
      </c>
      <c r="B1378" t="s">
        <v>12</v>
      </c>
      <c r="C1378">
        <f>C1349</f>
        <v>-72794.59</v>
      </c>
    </row>
    <row r="1380" spans="1:3">
      <c r="A1380" t="s">
        <v>149</v>
      </c>
      <c r="B1380">
        <v>-115990.27</v>
      </c>
      <c r="C1380" t="s">
        <v>1</v>
      </c>
    </row>
    <row r="1381" spans="1:3">
      <c r="A1381">
        <v>75192.929999999993</v>
      </c>
      <c r="B1381">
        <f t="shared" ref="B1381:B1388" si="39">+B1380+A1381</f>
        <v>-40797.340000000011</v>
      </c>
    </row>
    <row r="1382" spans="1:3">
      <c r="A1382">
        <v>75223.929999999993</v>
      </c>
      <c r="B1382">
        <f t="shared" si="39"/>
        <v>34426.589999999982</v>
      </c>
    </row>
    <row r="1383" spans="1:3">
      <c r="A1383">
        <v>75257.45</v>
      </c>
      <c r="B1383">
        <f t="shared" si="39"/>
        <v>109684.03999999998</v>
      </c>
    </row>
    <row r="1384" spans="1:3">
      <c r="A1384">
        <v>75291.44</v>
      </c>
      <c r="B1384">
        <f t="shared" si="39"/>
        <v>184975.47999999998</v>
      </c>
    </row>
    <row r="1385" spans="1:3">
      <c r="A1385">
        <v>-75296.5</v>
      </c>
      <c r="B1385">
        <f t="shared" si="39"/>
        <v>109678.97999999998</v>
      </c>
    </row>
    <row r="1386" spans="1:3">
      <c r="A1386">
        <v>75319.44</v>
      </c>
      <c r="B1386">
        <f t="shared" si="39"/>
        <v>184998.41999999998</v>
      </c>
      <c r="C1386">
        <v>22.94</v>
      </c>
    </row>
    <row r="1387" spans="1:3">
      <c r="A1387">
        <v>-75593.990000000005</v>
      </c>
      <c r="B1387">
        <f t="shared" si="39"/>
        <v>109404.42999999998</v>
      </c>
    </row>
    <row r="1388" spans="1:3">
      <c r="A1388">
        <v>75591.259999999995</v>
      </c>
      <c r="B1388">
        <f t="shared" si="39"/>
        <v>184995.68999999997</v>
      </c>
      <c r="C1388">
        <v>-2.73</v>
      </c>
    </row>
    <row r="1389" spans="1:3">
      <c r="B1389" t="s">
        <v>2</v>
      </c>
      <c r="C1389">
        <f>SUM(C1381:C1388)</f>
        <v>20.21</v>
      </c>
    </row>
    <row r="1390" spans="1:3">
      <c r="B1390" t="s">
        <v>3</v>
      </c>
      <c r="C1390">
        <f>+B1388-B1380</f>
        <v>300985.95999999996</v>
      </c>
    </row>
    <row r="1392" spans="1:3">
      <c r="A1392" t="s">
        <v>150</v>
      </c>
      <c r="B1392" t="s">
        <v>5</v>
      </c>
      <c r="C1392">
        <f>SUMIF(A1381:A1388,"&lt;0")</f>
        <v>-150890.49</v>
      </c>
    </row>
    <row r="1393" spans="1:3">
      <c r="A1393" t="str">
        <f>"SPY " &amp; COUNT(C1381:C1388) * 100 &amp; "股"</f>
        <v>SPY 200股</v>
      </c>
      <c r="B1393" t="s">
        <v>6</v>
      </c>
      <c r="C1393">
        <f>SUMIF(A1381:A1388,"&gt;0")-A1381-A1382-A1383-A1384</f>
        <v>150910.70000000001</v>
      </c>
    </row>
    <row r="1394" spans="1:3">
      <c r="B1394" t="s">
        <v>151</v>
      </c>
      <c r="C1394">
        <f>+C1392+C1393</f>
        <v>20.210000000020955</v>
      </c>
    </row>
    <row r="1395" spans="1:3">
      <c r="B1395" t="s">
        <v>152</v>
      </c>
      <c r="C1395">
        <f>C1394/ABS(C1392)</f>
        <v>1.3393819584004902E-4</v>
      </c>
    </row>
    <row r="1397" spans="1:3">
      <c r="A1397" t="s">
        <v>153</v>
      </c>
      <c r="B1397" t="s">
        <v>154</v>
      </c>
      <c r="C1397">
        <f>C1378</f>
        <v>-72794.59</v>
      </c>
    </row>
    <row r="1398" spans="1:3">
      <c r="B1398" t="s">
        <v>155</v>
      </c>
      <c r="C1398">
        <f>A1381</f>
        <v>75192.929999999993</v>
      </c>
    </row>
    <row r="1399" spans="1:3">
      <c r="B1399" t="s">
        <v>1</v>
      </c>
      <c r="C1399">
        <f>C1397+C1398</f>
        <v>2398.3399999999965</v>
      </c>
    </row>
    <row r="1400" spans="1:3">
      <c r="B1400" t="s">
        <v>156</v>
      </c>
      <c r="C1400">
        <f>C1399/ABS(C1397)</f>
        <v>3.2946679141952671E-2</v>
      </c>
    </row>
    <row r="1402" spans="1:3">
      <c r="A1402" t="s">
        <v>157</v>
      </c>
      <c r="B1402" t="s">
        <v>154</v>
      </c>
      <c r="C1402">
        <f>C1377</f>
        <v>-74291.5</v>
      </c>
    </row>
    <row r="1403" spans="1:3">
      <c r="B1403" t="s">
        <v>155</v>
      </c>
      <c r="C1403">
        <f>A1382</f>
        <v>75223.929999999993</v>
      </c>
    </row>
    <row r="1404" spans="1:3">
      <c r="B1404" t="s">
        <v>1</v>
      </c>
      <c r="C1404">
        <f>C1402+C1403</f>
        <v>932.42999999999302</v>
      </c>
    </row>
    <row r="1405" spans="1:3">
      <c r="B1405" t="s">
        <v>156</v>
      </c>
      <c r="C1405">
        <f>C1404/ABS(C1402)</f>
        <v>1.2550964780627569E-2</v>
      </c>
    </row>
    <row r="1407" spans="1:3">
      <c r="A1407" t="s">
        <v>158</v>
      </c>
      <c r="B1407" t="s">
        <v>154</v>
      </c>
      <c r="C1407">
        <f>C1376</f>
        <v>-74845</v>
      </c>
    </row>
    <row r="1408" spans="1:3">
      <c r="B1408" t="s">
        <v>155</v>
      </c>
      <c r="C1408">
        <f>A1383</f>
        <v>75257.45</v>
      </c>
    </row>
    <row r="1409" spans="1:3">
      <c r="B1409" t="s">
        <v>1</v>
      </c>
      <c r="C1409">
        <f>C1407+C1408</f>
        <v>412.44999999999709</v>
      </c>
    </row>
    <row r="1410" spans="1:3">
      <c r="B1410" t="s">
        <v>156</v>
      </c>
      <c r="C1410">
        <f>C1409/ABS(C1407)</f>
        <v>5.5107221591288273E-3</v>
      </c>
    </row>
    <row r="1412" spans="1:3">
      <c r="A1412" t="s">
        <v>158</v>
      </c>
      <c r="B1412" t="s">
        <v>154</v>
      </c>
      <c r="C1412">
        <f>C1375</f>
        <v>-74937</v>
      </c>
    </row>
    <row r="1413" spans="1:3">
      <c r="B1413" t="s">
        <v>155</v>
      </c>
      <c r="C1413">
        <f>A1384</f>
        <v>75291.44</v>
      </c>
    </row>
    <row r="1414" spans="1:3">
      <c r="B1414" t="s">
        <v>1</v>
      </c>
      <c r="C1414">
        <f>C1412+C1413</f>
        <v>354.44000000000233</v>
      </c>
    </row>
    <row r="1415" spans="1:3">
      <c r="B1415" t="s">
        <v>156</v>
      </c>
      <c r="C1415">
        <f>C1414/ABS(C1412)</f>
        <v>4.7298397320416127E-3</v>
      </c>
    </row>
    <row r="1418" spans="1:3">
      <c r="A1418" t="s">
        <v>159</v>
      </c>
      <c r="B1418">
        <v>-188589.21</v>
      </c>
      <c r="C1418" t="s">
        <v>1</v>
      </c>
    </row>
    <row r="1419" spans="1:3">
      <c r="A1419">
        <v>-75458.649999999994</v>
      </c>
      <c r="B1419">
        <f t="shared" ref="B1419:B1431" si="40">+B1418+A1419</f>
        <v>-264047.86</v>
      </c>
    </row>
    <row r="1420" spans="1:3">
      <c r="A1420">
        <v>-75441</v>
      </c>
      <c r="B1420">
        <f t="shared" si="40"/>
        <v>-339488.86</v>
      </c>
    </row>
    <row r="1421" spans="1:3">
      <c r="A1421">
        <v>75391.429999999993</v>
      </c>
      <c r="B1421">
        <f t="shared" si="40"/>
        <v>-264097.43</v>
      </c>
      <c r="C1421">
        <v>-49.57</v>
      </c>
    </row>
    <row r="1422" spans="1:3">
      <c r="A1422">
        <v>75384.44</v>
      </c>
      <c r="B1422">
        <f t="shared" si="40"/>
        <v>-188712.99</v>
      </c>
      <c r="C1422">
        <v>-74.209999999999994</v>
      </c>
    </row>
    <row r="1423" spans="1:3">
      <c r="A1423">
        <v>-75313</v>
      </c>
      <c r="B1423">
        <f t="shared" si="40"/>
        <v>-264025.99</v>
      </c>
    </row>
    <row r="1424" spans="1:3">
      <c r="A1424">
        <v>-75275.5</v>
      </c>
      <c r="B1424">
        <f t="shared" si="40"/>
        <v>-339301.49</v>
      </c>
    </row>
    <row r="1425" spans="1:4">
      <c r="A1425">
        <v>75311.13</v>
      </c>
      <c r="B1425">
        <f t="shared" si="40"/>
        <v>-263990.36</v>
      </c>
      <c r="C1425">
        <v>35.630000000000003</v>
      </c>
    </row>
    <row r="1426" spans="1:4">
      <c r="A1426">
        <v>-75253.5</v>
      </c>
      <c r="B1426">
        <f t="shared" si="40"/>
        <v>-339243.86</v>
      </c>
    </row>
    <row r="1427" spans="1:4">
      <c r="A1427">
        <v>75280.929999999993</v>
      </c>
      <c r="B1427">
        <f t="shared" si="40"/>
        <v>-263962.93</v>
      </c>
      <c r="C1427">
        <v>27.43</v>
      </c>
    </row>
    <row r="1428" spans="1:4">
      <c r="A1428">
        <v>-75228.5</v>
      </c>
      <c r="B1428">
        <f t="shared" si="40"/>
        <v>-339191.43</v>
      </c>
    </row>
    <row r="1429" spans="1:4">
      <c r="A1429">
        <v>75215.429999999993</v>
      </c>
      <c r="B1429">
        <f t="shared" si="40"/>
        <v>-263976</v>
      </c>
      <c r="C1429">
        <v>-13.07</v>
      </c>
    </row>
    <row r="1430" spans="1:4">
      <c r="A1430">
        <v>-75233</v>
      </c>
      <c r="B1430">
        <f t="shared" si="40"/>
        <v>-339209</v>
      </c>
    </row>
    <row r="1431" spans="1:4">
      <c r="A1431">
        <v>75264.44</v>
      </c>
      <c r="B1431">
        <f t="shared" si="40"/>
        <v>-263944.56</v>
      </c>
      <c r="C1431">
        <v>31.44</v>
      </c>
    </row>
    <row r="1432" spans="1:4">
      <c r="B1432" t="s">
        <v>2</v>
      </c>
      <c r="C1432">
        <f>SUM(C1419:C1431)</f>
        <v>-42.350000000000009</v>
      </c>
    </row>
    <row r="1433" spans="1:4">
      <c r="B1433" t="s">
        <v>3</v>
      </c>
      <c r="C1433">
        <f>+B1431-B1418-A1423</f>
        <v>-42.350000000005821</v>
      </c>
    </row>
    <row r="1435" spans="1:4">
      <c r="A1435" t="s">
        <v>160</v>
      </c>
      <c r="B1435" t="s">
        <v>5</v>
      </c>
      <c r="C1435" s="58">
        <f>SUMIF(A1419:A1431,"&lt;0")-A1423</f>
        <v>-451890.15</v>
      </c>
      <c r="D1435" s="58"/>
    </row>
    <row r="1436" spans="1:4">
      <c r="A1436" t="str">
        <f>"SPY " &amp; COUNT(C1419:C1431) * 100 &amp; "股"</f>
        <v>SPY 600股</v>
      </c>
      <c r="B1436" t="s">
        <v>6</v>
      </c>
      <c r="C1436" s="58">
        <f>SUMIF(A1419:A1431,"&gt;0")</f>
        <v>451847.8</v>
      </c>
      <c r="D1436" s="58"/>
    </row>
    <row r="1437" spans="1:4">
      <c r="B1437" t="s">
        <v>7</v>
      </c>
      <c r="C1437" s="58">
        <f>+C1435+C1436</f>
        <v>-42.350000000034925</v>
      </c>
      <c r="D1437" s="58"/>
    </row>
    <row r="1438" spans="1:4">
      <c r="B1438" t="s">
        <v>8</v>
      </c>
      <c r="C1438" s="38">
        <f>C1437/ABS(C1435)</f>
        <v>-9.3717466512679951E-5</v>
      </c>
    </row>
    <row r="1440" spans="1:4">
      <c r="A1440" t="s">
        <v>79</v>
      </c>
    </row>
    <row r="1441" spans="1:3">
      <c r="A1441" t="s">
        <v>161</v>
      </c>
      <c r="B1441" t="s">
        <v>12</v>
      </c>
      <c r="C1441" s="58">
        <v>-75313</v>
      </c>
    </row>
    <row r="1443" spans="1:3">
      <c r="A1443" t="s">
        <v>162</v>
      </c>
      <c r="B1443">
        <v>-263944.56</v>
      </c>
      <c r="C1443" t="s">
        <v>1</v>
      </c>
    </row>
    <row r="1444" spans="1:3">
      <c r="A1444">
        <v>-75048.06</v>
      </c>
      <c r="B1444">
        <f t="shared" ref="B1444:B1473" si="41">+B1443+A1444</f>
        <v>-338992.62</v>
      </c>
    </row>
    <row r="1445" spans="1:3">
      <c r="A1445">
        <v>75072.929999999993</v>
      </c>
      <c r="B1445">
        <f t="shared" si="41"/>
        <v>-263919.69</v>
      </c>
      <c r="C1445">
        <v>24.87</v>
      </c>
    </row>
    <row r="1446" spans="1:3">
      <c r="A1446">
        <v>-75136</v>
      </c>
      <c r="B1446">
        <f t="shared" si="41"/>
        <v>-339055.69</v>
      </c>
    </row>
    <row r="1447" spans="1:3">
      <c r="A1447">
        <v>75147.429999999993</v>
      </c>
      <c r="B1447">
        <f t="shared" si="41"/>
        <v>-263908.26</v>
      </c>
      <c r="C1447">
        <v>11.43</v>
      </c>
    </row>
    <row r="1448" spans="1:3">
      <c r="A1448">
        <v>-75112.179999999993</v>
      </c>
      <c r="B1448">
        <f t="shared" si="41"/>
        <v>-339020.44</v>
      </c>
    </row>
    <row r="1449" spans="1:3">
      <c r="A1449">
        <v>74974.44</v>
      </c>
      <c r="B1449">
        <f t="shared" si="41"/>
        <v>-264046</v>
      </c>
      <c r="C1449">
        <v>-137.74</v>
      </c>
    </row>
    <row r="1450" spans="1:3">
      <c r="A1450">
        <v>-74993.990000000005</v>
      </c>
      <c r="B1450">
        <f t="shared" si="41"/>
        <v>-339039.99</v>
      </c>
    </row>
    <row r="1451" spans="1:3">
      <c r="A1451">
        <v>75019.14</v>
      </c>
      <c r="B1451">
        <f t="shared" si="41"/>
        <v>-264020.84999999998</v>
      </c>
      <c r="C1451">
        <v>25.15</v>
      </c>
    </row>
    <row r="1452" spans="1:3">
      <c r="A1452">
        <v>-75096</v>
      </c>
      <c r="B1452">
        <f t="shared" si="41"/>
        <v>-339116.85</v>
      </c>
    </row>
    <row r="1453" spans="1:3">
      <c r="A1453">
        <v>75091.429999999993</v>
      </c>
      <c r="B1453">
        <f t="shared" si="41"/>
        <v>-264025.42</v>
      </c>
      <c r="C1453">
        <v>-4.57</v>
      </c>
    </row>
    <row r="1454" spans="1:3">
      <c r="A1454">
        <v>-75080</v>
      </c>
      <c r="B1454">
        <f t="shared" si="41"/>
        <v>-339105.42</v>
      </c>
    </row>
    <row r="1455" spans="1:3">
      <c r="A1455">
        <v>75090.929999999993</v>
      </c>
      <c r="B1455">
        <f t="shared" si="41"/>
        <v>-264014.49</v>
      </c>
      <c r="C1455">
        <v>10.93</v>
      </c>
    </row>
    <row r="1456" spans="1:3">
      <c r="A1456">
        <v>-75171.5</v>
      </c>
      <c r="B1456">
        <f t="shared" si="41"/>
        <v>-339185.99</v>
      </c>
    </row>
    <row r="1457" spans="1:3">
      <c r="A1457">
        <v>75202.69</v>
      </c>
      <c r="B1457">
        <f t="shared" si="41"/>
        <v>-263983.3</v>
      </c>
      <c r="C1457">
        <v>31.19</v>
      </c>
    </row>
    <row r="1458" spans="1:3">
      <c r="A1458">
        <v>-75181</v>
      </c>
      <c r="B1458">
        <f t="shared" si="41"/>
        <v>-339164.3</v>
      </c>
    </row>
    <row r="1459" spans="1:3">
      <c r="A1459">
        <v>75179.44</v>
      </c>
      <c r="B1459">
        <f t="shared" si="41"/>
        <v>-263984.86</v>
      </c>
      <c r="C1459">
        <v>-1.56</v>
      </c>
    </row>
    <row r="1460" spans="1:3">
      <c r="A1460">
        <v>-75056.899999999994</v>
      </c>
      <c r="B1460">
        <f t="shared" si="41"/>
        <v>-339041.76</v>
      </c>
    </row>
    <row r="1461" spans="1:3">
      <c r="A1461">
        <v>75055.13</v>
      </c>
      <c r="B1461">
        <f t="shared" si="41"/>
        <v>-263986.63</v>
      </c>
      <c r="C1461">
        <v>-1.77</v>
      </c>
    </row>
    <row r="1462" spans="1:3">
      <c r="A1462">
        <v>-75041.899999999994</v>
      </c>
      <c r="B1462">
        <f t="shared" si="41"/>
        <v>-339028.53</v>
      </c>
    </row>
    <row r="1463" spans="1:3">
      <c r="A1463">
        <v>75072.929999999993</v>
      </c>
      <c r="B1463">
        <f t="shared" si="41"/>
        <v>-263955.60000000003</v>
      </c>
      <c r="C1463">
        <v>31.03</v>
      </c>
    </row>
    <row r="1464" spans="1:3">
      <c r="A1464">
        <v>-75086.100000000006</v>
      </c>
      <c r="B1464">
        <f t="shared" si="41"/>
        <v>-339041.70000000007</v>
      </c>
    </row>
    <row r="1465" spans="1:3">
      <c r="A1465">
        <v>75092.429999999993</v>
      </c>
      <c r="B1465">
        <f t="shared" si="41"/>
        <v>-263949.27000000008</v>
      </c>
      <c r="C1465">
        <v>6.33</v>
      </c>
    </row>
    <row r="1466" spans="1:3">
      <c r="A1466">
        <v>-75088.3</v>
      </c>
      <c r="B1466">
        <f t="shared" si="41"/>
        <v>-339037.57000000007</v>
      </c>
    </row>
    <row r="1467" spans="1:3">
      <c r="A1467">
        <v>75025.94</v>
      </c>
      <c r="B1467">
        <f t="shared" si="41"/>
        <v>-264011.63000000006</v>
      </c>
      <c r="C1467">
        <v>-62.36</v>
      </c>
    </row>
    <row r="1468" spans="1:3">
      <c r="A1468">
        <v>-74998.990000000005</v>
      </c>
      <c r="B1468">
        <f t="shared" si="41"/>
        <v>-339010.62000000005</v>
      </c>
    </row>
    <row r="1469" spans="1:3">
      <c r="A1469">
        <v>75023.429999999993</v>
      </c>
      <c r="B1469">
        <f t="shared" si="41"/>
        <v>-263987.19000000006</v>
      </c>
      <c r="C1469">
        <v>24.44</v>
      </c>
    </row>
    <row r="1470" spans="1:3">
      <c r="A1470">
        <v>-75000.5</v>
      </c>
      <c r="B1470">
        <f t="shared" si="41"/>
        <v>-338987.69000000006</v>
      </c>
    </row>
    <row r="1471" spans="1:3">
      <c r="A1471">
        <v>75015.929999999993</v>
      </c>
      <c r="B1471">
        <f t="shared" si="41"/>
        <v>-263971.76000000007</v>
      </c>
      <c r="C1471">
        <v>15.43</v>
      </c>
    </row>
    <row r="1472" spans="1:3">
      <c r="A1472">
        <v>-75000.5</v>
      </c>
      <c r="B1472">
        <f t="shared" si="41"/>
        <v>-338972.26000000007</v>
      </c>
    </row>
    <row r="1473" spans="1:3">
      <c r="A1473">
        <v>74945.929999999993</v>
      </c>
      <c r="B1473">
        <f t="shared" si="41"/>
        <v>-264026.33000000007</v>
      </c>
      <c r="C1473">
        <v>-54.57</v>
      </c>
    </row>
    <row r="1474" spans="1:3">
      <c r="B1474" t="s">
        <v>2</v>
      </c>
      <c r="C1474">
        <f>SUM(C1444:C1473)</f>
        <v>-81.77000000000001</v>
      </c>
    </row>
    <row r="1475" spans="1:3">
      <c r="B1475" t="s">
        <v>3</v>
      </c>
      <c r="C1475">
        <f>+B1473-B1443</f>
        <v>-81.770000000076834</v>
      </c>
    </row>
    <row r="1477" spans="1:3">
      <c r="A1477" t="s">
        <v>163</v>
      </c>
      <c r="B1477" t="s">
        <v>5</v>
      </c>
      <c r="C1477" s="58">
        <f>SUMIF(A1444:A1473,"&lt;0")</f>
        <v>-1126091.92</v>
      </c>
    </row>
    <row r="1478" spans="1:3">
      <c r="A1478" t="str">
        <f>"SPY " &amp; COUNT(C1444:C1473) * 100 &amp; "股"</f>
        <v>SPY 1500股</v>
      </c>
      <c r="B1478" t="s">
        <v>6</v>
      </c>
      <c r="C1478" s="58">
        <f>SUMIF(A1444:A1473,"&gt;0")</f>
        <v>1126010.1499999997</v>
      </c>
    </row>
    <row r="1479" spans="1:3">
      <c r="B1479" t="s">
        <v>7</v>
      </c>
      <c r="C1479" s="58">
        <f>+C1477+C1478</f>
        <v>-81.770000000251457</v>
      </c>
    </row>
    <row r="1480" spans="1:3">
      <c r="B1480" t="s">
        <v>8</v>
      </c>
      <c r="C1480" s="45">
        <f>C1479/ABS(C1477)</f>
        <v>-7.2613965652334548E-5</v>
      </c>
    </row>
    <row r="1483" spans="1:3">
      <c r="A1483" t="s">
        <v>164</v>
      </c>
      <c r="B1483">
        <v>37041.4</v>
      </c>
      <c r="C1483" t="s">
        <v>1</v>
      </c>
    </row>
    <row r="1484" spans="1:3">
      <c r="A1484">
        <v>-74487.5</v>
      </c>
      <c r="B1484">
        <f t="shared" ref="B1484:B1499" si="42">+B1483+A1484</f>
        <v>-37446.1</v>
      </c>
    </row>
    <row r="1485" spans="1:3">
      <c r="A1485">
        <v>74544.73</v>
      </c>
      <c r="B1485">
        <f t="shared" si="42"/>
        <v>37098.629999999997</v>
      </c>
      <c r="C1485">
        <v>57.23</v>
      </c>
    </row>
    <row r="1486" spans="1:3">
      <c r="A1486">
        <v>-74687</v>
      </c>
      <c r="B1486">
        <f t="shared" si="42"/>
        <v>-37588.370000000003</v>
      </c>
    </row>
    <row r="1487" spans="1:3">
      <c r="A1487">
        <v>74721.440000000002</v>
      </c>
      <c r="B1487">
        <f t="shared" si="42"/>
        <v>37133.07</v>
      </c>
      <c r="C1487">
        <v>34.44</v>
      </c>
    </row>
    <row r="1488" spans="1:3">
      <c r="A1488">
        <v>-74676.960000000006</v>
      </c>
      <c r="B1488">
        <f t="shared" si="42"/>
        <v>-37543.890000000007</v>
      </c>
    </row>
    <row r="1489" spans="1:3">
      <c r="A1489">
        <v>74667.45</v>
      </c>
      <c r="B1489">
        <f t="shared" si="42"/>
        <v>37123.55999999999</v>
      </c>
      <c r="C1489">
        <v>-9.51</v>
      </c>
    </row>
    <row r="1490" spans="1:3">
      <c r="A1490">
        <v>-74634.5</v>
      </c>
      <c r="B1490">
        <f t="shared" si="42"/>
        <v>-37510.94000000001</v>
      </c>
    </row>
    <row r="1491" spans="1:3">
      <c r="A1491">
        <v>74598.94</v>
      </c>
      <c r="B1491">
        <f t="shared" si="42"/>
        <v>37087.999999999993</v>
      </c>
      <c r="C1491">
        <v>-35.56</v>
      </c>
    </row>
    <row r="1492" spans="1:3">
      <c r="A1492">
        <v>-74566.899999999994</v>
      </c>
      <c r="B1492">
        <f t="shared" si="42"/>
        <v>-37478.9</v>
      </c>
    </row>
    <row r="1493" spans="1:3">
      <c r="A1493">
        <v>74569.440000000002</v>
      </c>
      <c r="B1493">
        <f t="shared" si="42"/>
        <v>37090.54</v>
      </c>
      <c r="C1493">
        <v>2.54</v>
      </c>
    </row>
    <row r="1494" spans="1:3">
      <c r="A1494">
        <v>-74577</v>
      </c>
      <c r="B1494">
        <f t="shared" si="42"/>
        <v>-37486.46</v>
      </c>
    </row>
    <row r="1495" spans="1:3">
      <c r="A1495">
        <v>74602.94</v>
      </c>
      <c r="B1495">
        <f t="shared" si="42"/>
        <v>37116.480000000003</v>
      </c>
      <c r="C1495">
        <v>25.94</v>
      </c>
    </row>
    <row r="1496" spans="1:3">
      <c r="A1496">
        <v>-74673.710000000006</v>
      </c>
      <c r="B1496">
        <f t="shared" si="42"/>
        <v>-37557.230000000003</v>
      </c>
    </row>
    <row r="1497" spans="1:3">
      <c r="A1497">
        <v>74682.92</v>
      </c>
      <c r="B1497">
        <f t="shared" si="42"/>
        <v>37125.689999999995</v>
      </c>
      <c r="C1497">
        <v>9.2100000000000009</v>
      </c>
    </row>
    <row r="1498" spans="1:3">
      <c r="A1498">
        <v>-74656.039999999994</v>
      </c>
      <c r="B1498">
        <f t="shared" si="42"/>
        <v>-37530.35</v>
      </c>
    </row>
    <row r="1499" spans="1:3">
      <c r="A1499">
        <v>74662.44</v>
      </c>
      <c r="B1499">
        <f t="shared" si="42"/>
        <v>37132.090000000004</v>
      </c>
      <c r="C1499">
        <v>6.4</v>
      </c>
    </row>
    <row r="1500" spans="1:3">
      <c r="B1500" t="s">
        <v>2</v>
      </c>
      <c r="C1500">
        <f>SUM(C1484:C1499)</f>
        <v>90.69</v>
      </c>
    </row>
    <row r="1501" spans="1:3">
      <c r="B1501" t="s">
        <v>3</v>
      </c>
      <c r="C1501">
        <f>+B1499-B1483</f>
        <v>90.690000000002328</v>
      </c>
    </row>
    <row r="1503" spans="1:3">
      <c r="A1503" t="s">
        <v>165</v>
      </c>
      <c r="B1503" t="s">
        <v>5</v>
      </c>
      <c r="C1503" s="58">
        <f>SUMIF(A1484:A1499,"&lt;0")</f>
        <v>-596959.61</v>
      </c>
    </row>
    <row r="1504" spans="1:3">
      <c r="A1504" t="str">
        <f>"SPY " &amp; COUNT(C1484:C1499) * 100 &amp; "股"</f>
        <v>SPY 800股</v>
      </c>
      <c r="B1504" t="s">
        <v>6</v>
      </c>
      <c r="C1504" s="58">
        <f>SUMIF(A1484:A1499,"&gt;0")</f>
        <v>597050.30000000005</v>
      </c>
    </row>
    <row r="1505" spans="1:3">
      <c r="B1505" t="s">
        <v>7</v>
      </c>
      <c r="C1505" s="58">
        <f>+C1503+C1504</f>
        <v>90.690000000060536</v>
      </c>
    </row>
    <row r="1506" spans="1:3">
      <c r="B1506" t="s">
        <v>8</v>
      </c>
      <c r="C1506" s="45">
        <f>C1505/ABS(C1503)</f>
        <v>1.5191982586570729E-4</v>
      </c>
    </row>
    <row r="1509" spans="1:3">
      <c r="A1509" t="s">
        <v>166</v>
      </c>
      <c r="B1509">
        <v>36959.65</v>
      </c>
      <c r="C1509" t="s">
        <v>1</v>
      </c>
    </row>
    <row r="1510" spans="1:3">
      <c r="A1510">
        <v>74907.039999999994</v>
      </c>
      <c r="B1510">
        <f t="shared" ref="B1510:B1523" si="43">+B1509+A1510</f>
        <v>111866.69</v>
      </c>
    </row>
    <row r="1511" spans="1:3">
      <c r="A1511">
        <v>-74906.5</v>
      </c>
      <c r="B1511">
        <f t="shared" si="43"/>
        <v>36960.19</v>
      </c>
      <c r="C1511">
        <v>0.54</v>
      </c>
    </row>
    <row r="1512" spans="1:3">
      <c r="A1512">
        <v>-74976</v>
      </c>
      <c r="B1512">
        <f t="shared" si="43"/>
        <v>-38015.81</v>
      </c>
    </row>
    <row r="1513" spans="1:3">
      <c r="A1513">
        <v>74990.45</v>
      </c>
      <c r="B1513">
        <f t="shared" si="43"/>
        <v>36974.639999999999</v>
      </c>
      <c r="C1513">
        <v>14.45</v>
      </c>
    </row>
    <row r="1514" spans="1:3">
      <c r="A1514">
        <v>-74486.77</v>
      </c>
      <c r="B1514">
        <f t="shared" si="43"/>
        <v>-37512.130000000005</v>
      </c>
    </row>
    <row r="1515" spans="1:3">
      <c r="A1515">
        <v>74368.45</v>
      </c>
      <c r="B1515">
        <f t="shared" si="43"/>
        <v>36856.319999999992</v>
      </c>
      <c r="C1515">
        <v>-118.32</v>
      </c>
    </row>
    <row r="1516" spans="1:3">
      <c r="A1516">
        <v>-74476.850000000006</v>
      </c>
      <c r="B1516">
        <f t="shared" si="43"/>
        <v>-37620.530000000013</v>
      </c>
    </row>
    <row r="1517" spans="1:3">
      <c r="A1517">
        <v>74473.95</v>
      </c>
      <c r="B1517">
        <f t="shared" si="43"/>
        <v>36853.419999999984</v>
      </c>
      <c r="C1517">
        <v>-2.9</v>
      </c>
    </row>
    <row r="1518" spans="1:3">
      <c r="A1518">
        <v>-74443</v>
      </c>
      <c r="B1518">
        <f t="shared" si="43"/>
        <v>-37589.580000000016</v>
      </c>
    </row>
    <row r="1519" spans="1:3">
      <c r="A1519">
        <v>74441.460000000006</v>
      </c>
      <c r="B1519">
        <f t="shared" si="43"/>
        <v>36851.87999999999</v>
      </c>
      <c r="C1519">
        <v>-1.54</v>
      </c>
    </row>
    <row r="1520" spans="1:3">
      <c r="A1520">
        <v>-74417.5</v>
      </c>
      <c r="B1520">
        <f t="shared" si="43"/>
        <v>-37565.62000000001</v>
      </c>
    </row>
    <row r="1521" spans="1:3">
      <c r="A1521">
        <v>74488.53</v>
      </c>
      <c r="B1521">
        <f t="shared" si="43"/>
        <v>36922.909999999989</v>
      </c>
      <c r="C1521">
        <v>71.03</v>
      </c>
    </row>
    <row r="1522" spans="1:3">
      <c r="A1522">
        <v>-74433.5</v>
      </c>
      <c r="B1522">
        <f t="shared" si="43"/>
        <v>-37510.590000000011</v>
      </c>
    </row>
    <row r="1523" spans="1:3">
      <c r="A1523">
        <v>74496.45</v>
      </c>
      <c r="B1523">
        <f t="shared" si="43"/>
        <v>36985.859999999986</v>
      </c>
      <c r="C1523">
        <v>62.95</v>
      </c>
    </row>
    <row r="1524" spans="1:3">
      <c r="B1524" t="s">
        <v>2</v>
      </c>
      <c r="C1524">
        <f>SUM(C1510:C1523)</f>
        <v>26.209999999999994</v>
      </c>
    </row>
    <row r="1525" spans="1:3">
      <c r="B1525" t="s">
        <v>3</v>
      </c>
      <c r="C1525">
        <f>+B1523-B1509</f>
        <v>26.209999999984575</v>
      </c>
    </row>
    <row r="1527" spans="1:3">
      <c r="A1527" t="s">
        <v>167</v>
      </c>
      <c r="B1527" t="s">
        <v>5</v>
      </c>
      <c r="C1527" s="58">
        <f>SUMIF(A1510:A1523,"&lt;0")</f>
        <v>-522140.12</v>
      </c>
    </row>
    <row r="1528" spans="1:3">
      <c r="A1528" t="str">
        <f>"SPY " &amp; COUNT(C1510:C1523) * 100 &amp; "股"</f>
        <v>SPY 700股</v>
      </c>
      <c r="B1528" t="s">
        <v>6</v>
      </c>
      <c r="C1528" s="58">
        <f>SUMIF(A1510:A1523,"&gt;0")</f>
        <v>522166.33</v>
      </c>
    </row>
    <row r="1529" spans="1:3">
      <c r="B1529" t="s">
        <v>7</v>
      </c>
      <c r="C1529" s="58">
        <f>+C1527+C1528</f>
        <v>26.210000000020955</v>
      </c>
    </row>
    <row r="1530" spans="1:3">
      <c r="B1530" t="s">
        <v>8</v>
      </c>
      <c r="C1530" s="45">
        <f>C1529/ABS(C1527)</f>
        <v>5.0197253564849517E-5</v>
      </c>
    </row>
    <row r="1533" spans="1:3">
      <c r="A1533" t="s">
        <v>168</v>
      </c>
      <c r="B1533">
        <v>37050.339999999997</v>
      </c>
      <c r="C1533" t="s">
        <v>1</v>
      </c>
    </row>
    <row r="1534" spans="1:3">
      <c r="A1534">
        <v>-73798.78</v>
      </c>
      <c r="B1534">
        <f t="shared" ref="B1534:B1549" si="44">+B1533+A1534</f>
        <v>-36748.44</v>
      </c>
    </row>
    <row r="1535" spans="1:3">
      <c r="A1535">
        <v>73815.34</v>
      </c>
      <c r="B1535">
        <f t="shared" si="44"/>
        <v>37066.899999999994</v>
      </c>
      <c r="C1535">
        <v>16.559999999999999</v>
      </c>
    </row>
    <row r="1536" spans="1:3">
      <c r="A1536">
        <v>-73872.3</v>
      </c>
      <c r="B1536">
        <f t="shared" si="44"/>
        <v>-36805.400000000009</v>
      </c>
    </row>
    <row r="1537" spans="1:3">
      <c r="A1537">
        <v>73885.960000000006</v>
      </c>
      <c r="B1537">
        <f t="shared" si="44"/>
        <v>37080.559999999998</v>
      </c>
      <c r="C1537">
        <v>13.66</v>
      </c>
    </row>
    <row r="1538" spans="1:3">
      <c r="A1538">
        <v>-73842.880000000005</v>
      </c>
      <c r="B1538">
        <f t="shared" si="44"/>
        <v>-36762.320000000007</v>
      </c>
    </row>
    <row r="1539" spans="1:3">
      <c r="A1539">
        <v>73831.5</v>
      </c>
      <c r="B1539">
        <f t="shared" si="44"/>
        <v>37069.179999999993</v>
      </c>
      <c r="C1539">
        <v>-11.38</v>
      </c>
    </row>
    <row r="1540" spans="1:3">
      <c r="A1540">
        <v>-73844.73</v>
      </c>
      <c r="B1540">
        <f t="shared" si="44"/>
        <v>-36775.550000000003</v>
      </c>
    </row>
    <row r="1541" spans="1:3">
      <c r="A1541">
        <v>73740.47</v>
      </c>
      <c r="B1541">
        <f t="shared" si="44"/>
        <v>36964.92</v>
      </c>
      <c r="C1541">
        <v>-104.26</v>
      </c>
    </row>
    <row r="1542" spans="1:3">
      <c r="A1542">
        <v>-73695</v>
      </c>
      <c r="B1542">
        <f t="shared" si="44"/>
        <v>-36730.080000000002</v>
      </c>
    </row>
    <row r="1543" spans="1:3">
      <c r="A1543">
        <v>-73590.5</v>
      </c>
      <c r="B1543">
        <f t="shared" si="44"/>
        <v>-110320.58</v>
      </c>
    </row>
    <row r="1544" spans="1:3">
      <c r="A1544">
        <v>73530.679999999993</v>
      </c>
      <c r="B1544">
        <f t="shared" si="44"/>
        <v>-36789.900000000009</v>
      </c>
      <c r="C1544">
        <v>-59.82</v>
      </c>
    </row>
    <row r="1545" spans="1:3">
      <c r="A1545">
        <v>73738.91</v>
      </c>
      <c r="B1545">
        <f t="shared" si="44"/>
        <v>36949.009999999995</v>
      </c>
      <c r="C1545">
        <v>43.91</v>
      </c>
    </row>
    <row r="1546" spans="1:3">
      <c r="A1546">
        <v>-73784.990000000005</v>
      </c>
      <c r="B1546">
        <f t="shared" si="44"/>
        <v>-36835.98000000001</v>
      </c>
    </row>
    <row r="1547" spans="1:3">
      <c r="A1547">
        <v>73781.899999999994</v>
      </c>
      <c r="B1547">
        <f t="shared" si="44"/>
        <v>36945.919999999984</v>
      </c>
      <c r="C1547">
        <v>-3.09</v>
      </c>
    </row>
    <row r="1548" spans="1:3">
      <c r="A1548">
        <v>-73532.59</v>
      </c>
      <c r="B1548">
        <f t="shared" si="44"/>
        <v>-36586.670000000013</v>
      </c>
    </row>
    <row r="1549" spans="1:3">
      <c r="A1549">
        <v>73499.47</v>
      </c>
      <c r="B1549">
        <f t="shared" si="44"/>
        <v>36912.799999999988</v>
      </c>
      <c r="C1549">
        <v>-33.119999999999997</v>
      </c>
    </row>
    <row r="1550" spans="1:3">
      <c r="B1550" t="s">
        <v>2</v>
      </c>
      <c r="C1550">
        <f>SUM(C1534:C1549)</f>
        <v>-137.54000000000002</v>
      </c>
    </row>
    <row r="1551" spans="1:3">
      <c r="B1551" t="s">
        <v>3</v>
      </c>
      <c r="C1551">
        <f>+B1549-B1533</f>
        <v>-137.54000000000815</v>
      </c>
    </row>
    <row r="1553" spans="1:3">
      <c r="A1553" t="s">
        <v>169</v>
      </c>
      <c r="B1553" t="s">
        <v>5</v>
      </c>
      <c r="C1553" s="58">
        <f>SUMIF(A1534:A1549,"&lt;0")</f>
        <v>-589961.77</v>
      </c>
    </row>
    <row r="1554" spans="1:3">
      <c r="A1554" t="str">
        <f>"SPY " &amp; COUNT(C1534:C1549) * 100 &amp; "股"</f>
        <v>SPY 800股</v>
      </c>
      <c r="B1554" t="s">
        <v>6</v>
      </c>
      <c r="C1554" s="58">
        <f>SUMIF(A1534:A1549,"&gt;0")</f>
        <v>589824.23</v>
      </c>
    </row>
    <row r="1555" spans="1:3">
      <c r="B1555" t="s">
        <v>7</v>
      </c>
      <c r="C1555" s="58">
        <f>+C1553+C1554</f>
        <v>-137.54000000003725</v>
      </c>
    </row>
    <row r="1556" spans="1:3">
      <c r="B1556" t="s">
        <v>8</v>
      </c>
      <c r="C1556" s="45">
        <f>C1555/ABS(C1553)</f>
        <v>-2.3313375034459817E-4</v>
      </c>
    </row>
    <row r="1559" spans="1:3">
      <c r="A1559" t="s">
        <v>170</v>
      </c>
      <c r="B1559">
        <v>37076.550000000003</v>
      </c>
      <c r="C1559" t="s">
        <v>1</v>
      </c>
    </row>
    <row r="1560" spans="1:3">
      <c r="A1560">
        <v>73579.520000000004</v>
      </c>
      <c r="B1560">
        <f t="shared" ref="B1560:B1583" si="45">+B1559+A1560</f>
        <v>110656.07</v>
      </c>
    </row>
    <row r="1561" spans="1:3">
      <c r="A1561">
        <v>-73487</v>
      </c>
      <c r="B1561">
        <f t="shared" si="45"/>
        <v>37169.070000000007</v>
      </c>
      <c r="C1561">
        <v>92.52</v>
      </c>
    </row>
    <row r="1562" spans="1:3">
      <c r="A1562">
        <v>-73451</v>
      </c>
      <c r="B1562">
        <f t="shared" si="45"/>
        <v>-36281.929999999993</v>
      </c>
    </row>
    <row r="1563" spans="1:3">
      <c r="A1563">
        <v>73489.48</v>
      </c>
      <c r="B1563">
        <f t="shared" si="45"/>
        <v>37207.550000000003</v>
      </c>
      <c r="C1563">
        <v>38.479999999999997</v>
      </c>
    </row>
    <row r="1564" spans="1:3">
      <c r="A1564">
        <v>-73610.5</v>
      </c>
      <c r="B1564">
        <f t="shared" si="45"/>
        <v>-36402.949999999997</v>
      </c>
    </row>
    <row r="1565" spans="1:3">
      <c r="A1565">
        <v>73654.47</v>
      </c>
      <c r="B1565">
        <f t="shared" si="45"/>
        <v>37251.520000000004</v>
      </c>
      <c r="C1565">
        <v>43.97</v>
      </c>
    </row>
    <row r="1566" spans="1:3">
      <c r="A1566">
        <v>73746.960000000006</v>
      </c>
      <c r="B1566">
        <f t="shared" si="45"/>
        <v>110998.48000000001</v>
      </c>
    </row>
    <row r="1567" spans="1:3">
      <c r="A1567">
        <v>-73749.759999999995</v>
      </c>
      <c r="B1567">
        <f t="shared" si="45"/>
        <v>37248.720000000016</v>
      </c>
      <c r="C1567">
        <v>-2.8</v>
      </c>
    </row>
    <row r="1568" spans="1:3">
      <c r="A1568">
        <v>-73598.98</v>
      </c>
      <c r="B1568">
        <f t="shared" si="45"/>
        <v>-36350.25999999998</v>
      </c>
    </row>
    <row r="1569" spans="1:3">
      <c r="A1569">
        <v>73617.399999999994</v>
      </c>
      <c r="B1569">
        <f t="shared" si="45"/>
        <v>37267.140000000014</v>
      </c>
      <c r="C1569">
        <v>18.420000000000002</v>
      </c>
    </row>
    <row r="1570" spans="1:3">
      <c r="A1570">
        <v>-73937</v>
      </c>
      <c r="B1570">
        <f t="shared" si="45"/>
        <v>-36669.859999999986</v>
      </c>
    </row>
    <row r="1571" spans="1:3">
      <c r="A1571">
        <v>73928.78</v>
      </c>
      <c r="B1571">
        <f t="shared" si="45"/>
        <v>37258.920000000013</v>
      </c>
      <c r="C1571">
        <v>-8.2200000000000006</v>
      </c>
    </row>
    <row r="1572" spans="1:3">
      <c r="A1572">
        <v>73867.460000000006</v>
      </c>
      <c r="B1572">
        <f t="shared" si="45"/>
        <v>111126.38000000002</v>
      </c>
    </row>
    <row r="1573" spans="1:3">
      <c r="A1573">
        <v>-73917.5</v>
      </c>
      <c r="B1573">
        <f t="shared" si="45"/>
        <v>37208.880000000019</v>
      </c>
      <c r="C1573">
        <v>-50.04</v>
      </c>
    </row>
    <row r="1574" spans="1:3">
      <c r="A1574">
        <v>73791.48</v>
      </c>
      <c r="B1574">
        <f t="shared" si="45"/>
        <v>111000.36000000002</v>
      </c>
    </row>
    <row r="1575" spans="1:3">
      <c r="A1575">
        <v>-73806.92</v>
      </c>
      <c r="B1575">
        <f t="shared" si="45"/>
        <v>37193.440000000017</v>
      </c>
      <c r="C1575">
        <v>-15.44</v>
      </c>
    </row>
    <row r="1576" spans="1:3">
      <c r="A1576">
        <v>-73860</v>
      </c>
      <c r="B1576">
        <f t="shared" si="45"/>
        <v>-36666.559999999983</v>
      </c>
    </row>
    <row r="1577" spans="1:3">
      <c r="A1577">
        <v>73888.56</v>
      </c>
      <c r="B1577">
        <f t="shared" si="45"/>
        <v>37222.000000000015</v>
      </c>
      <c r="C1577">
        <v>28.56</v>
      </c>
    </row>
    <row r="1578" spans="1:3">
      <c r="A1578">
        <v>-73819</v>
      </c>
      <c r="B1578">
        <f t="shared" si="45"/>
        <v>-36596.999999999985</v>
      </c>
    </row>
    <row r="1579" spans="1:3">
      <c r="A1579">
        <v>73775.460000000006</v>
      </c>
      <c r="B1579">
        <f t="shared" si="45"/>
        <v>37178.460000000021</v>
      </c>
      <c r="C1579">
        <v>-43.54</v>
      </c>
    </row>
    <row r="1580" spans="1:3">
      <c r="A1580">
        <v>-15578</v>
      </c>
      <c r="B1580">
        <f t="shared" si="45"/>
        <v>21600.460000000021</v>
      </c>
    </row>
    <row r="1581" spans="1:3">
      <c r="A1581">
        <v>15691.16</v>
      </c>
      <c r="B1581">
        <f t="shared" si="45"/>
        <v>37291.620000000024</v>
      </c>
      <c r="C1581">
        <v>113.16</v>
      </c>
    </row>
    <row r="1582" spans="1:3">
      <c r="A1582">
        <v>-15599</v>
      </c>
      <c r="B1582">
        <f t="shared" si="45"/>
        <v>21692.620000000024</v>
      </c>
    </row>
    <row r="1583" spans="1:3">
      <c r="A1583">
        <v>15617.16</v>
      </c>
      <c r="B1583">
        <f t="shared" si="45"/>
        <v>37309.780000000028</v>
      </c>
      <c r="C1583">
        <v>18.16</v>
      </c>
    </row>
    <row r="1584" spans="1:3">
      <c r="B1584" t="s">
        <v>2</v>
      </c>
      <c r="C1584">
        <f>SUM(C1560:C1583)</f>
        <v>233.23</v>
      </c>
    </row>
    <row r="1585" spans="1:3">
      <c r="B1585" t="s">
        <v>3</v>
      </c>
      <c r="C1585">
        <f>+B1583-B1559</f>
        <v>233.23000000002503</v>
      </c>
    </row>
    <row r="1587" spans="1:3">
      <c r="A1587" t="s">
        <v>171</v>
      </c>
      <c r="B1587" t="s">
        <v>5</v>
      </c>
      <c r="C1587" s="58">
        <f>SUMIF(A1560:A1583,"&lt;0")-C1592</f>
        <v>-737237.66</v>
      </c>
    </row>
    <row r="1588" spans="1:3">
      <c r="A1588" t="str">
        <f>"SPY " &amp; (COUNT(C1560:C1583)-COUNT(C1580:C1583)) * 100 &amp; "股"</f>
        <v>SPY 1000股</v>
      </c>
      <c r="B1588" t="s">
        <v>6</v>
      </c>
      <c r="C1588" s="58">
        <f>SUMIF(A1560:A1583,"&gt;0")-C1593</f>
        <v>737339.57000000018</v>
      </c>
    </row>
    <row r="1589" spans="1:3">
      <c r="B1589" t="s">
        <v>7</v>
      </c>
      <c r="C1589" s="58">
        <f>+C1587+C1588</f>
        <v>101.91000000014901</v>
      </c>
    </row>
    <row r="1590" spans="1:3">
      <c r="B1590" t="s">
        <v>8</v>
      </c>
      <c r="C1590" s="45">
        <f>C1589/ABS(C1587)</f>
        <v>1.3823222215770829E-4</v>
      </c>
    </row>
    <row r="1592" spans="1:3">
      <c r="A1592" t="s">
        <v>172</v>
      </c>
      <c r="B1592" t="s">
        <v>5</v>
      </c>
      <c r="C1592" s="58">
        <f>SUMIF(A1580:A1583,"&lt;0")</f>
        <v>-31177</v>
      </c>
    </row>
    <row r="1593" spans="1:3">
      <c r="A1593" t="str">
        <f>"SPCX " &amp; COUNT(C1580:C1583) * 100 &amp; "股"</f>
        <v>SPCX 200股</v>
      </c>
      <c r="B1593" t="s">
        <v>6</v>
      </c>
      <c r="C1593" s="58">
        <f>SUMIF(A1580:A1583,"&gt;0")</f>
        <v>31308.32</v>
      </c>
    </row>
    <row r="1594" spans="1:3">
      <c r="B1594" t="s">
        <v>7</v>
      </c>
      <c r="C1594" s="58">
        <f>+C1592+C1593</f>
        <v>131.31999999999971</v>
      </c>
    </row>
    <row r="1595" spans="1:3">
      <c r="B1595" t="s">
        <v>8</v>
      </c>
      <c r="C1595" s="45">
        <f>C1594/ABS(C1592)</f>
        <v>4.2120794175193156E-3</v>
      </c>
    </row>
    <row r="1598" spans="1:3">
      <c r="A1598" t="s">
        <v>173</v>
      </c>
      <c r="B1598">
        <v>36939.01</v>
      </c>
      <c r="C1598" t="s">
        <v>1</v>
      </c>
    </row>
    <row r="1599" spans="1:3">
      <c r="A1599">
        <v>-73704.5</v>
      </c>
      <c r="B1599">
        <f t="shared" ref="B1599:B1610" si="46">+B1598+A1599</f>
        <v>-36765.49</v>
      </c>
    </row>
    <row r="1600" spans="1:3">
      <c r="A1600">
        <v>-73247.5</v>
      </c>
      <c r="B1600">
        <f t="shared" si="46"/>
        <v>-110012.98999999999</v>
      </c>
    </row>
    <row r="1601" spans="1:3">
      <c r="A1601">
        <v>-73326.78</v>
      </c>
      <c r="B1601">
        <f t="shared" si="46"/>
        <v>-183339.77</v>
      </c>
    </row>
    <row r="1602" spans="1:3">
      <c r="A1602">
        <v>-73066.34</v>
      </c>
      <c r="B1602">
        <f t="shared" si="46"/>
        <v>-256406.11</v>
      </c>
    </row>
    <row r="1603" spans="1:3">
      <c r="A1603">
        <v>73467.98</v>
      </c>
      <c r="B1603">
        <f t="shared" si="46"/>
        <v>-182938.13</v>
      </c>
      <c r="C1603">
        <v>401.64</v>
      </c>
    </row>
    <row r="1604" spans="1:3">
      <c r="A1604">
        <v>73549.460000000006</v>
      </c>
      <c r="B1604">
        <f t="shared" si="46"/>
        <v>-109388.67</v>
      </c>
      <c r="C1604">
        <v>222.68</v>
      </c>
    </row>
    <row r="1605" spans="1:3">
      <c r="A1605">
        <v>73676.66</v>
      </c>
      <c r="B1605">
        <f t="shared" si="46"/>
        <v>-35712.009999999995</v>
      </c>
      <c r="C1605">
        <v>429.16</v>
      </c>
    </row>
    <row r="1606" spans="1:3">
      <c r="A1606">
        <v>73629.960000000006</v>
      </c>
      <c r="B1606">
        <f t="shared" si="46"/>
        <v>37917.950000000012</v>
      </c>
      <c r="C1606">
        <v>-74.540000000000006</v>
      </c>
    </row>
    <row r="1607" spans="1:3">
      <c r="A1607">
        <v>-73287.5</v>
      </c>
      <c r="B1607">
        <f t="shared" si="46"/>
        <v>-35369.549999999988</v>
      </c>
    </row>
    <row r="1608" spans="1:3">
      <c r="A1608">
        <v>73342.47</v>
      </c>
      <c r="B1608">
        <f t="shared" si="46"/>
        <v>37972.920000000013</v>
      </c>
      <c r="C1608">
        <v>54.97</v>
      </c>
    </row>
    <row r="1609" spans="1:3">
      <c r="A1609">
        <v>-73256</v>
      </c>
      <c r="B1609">
        <f t="shared" si="46"/>
        <v>-35283.079999999987</v>
      </c>
    </row>
    <row r="1610" spans="1:3">
      <c r="A1610">
        <v>73304.86</v>
      </c>
      <c r="B1610">
        <f t="shared" si="46"/>
        <v>38021.780000000013</v>
      </c>
      <c r="C1610">
        <v>48.86</v>
      </c>
    </row>
    <row r="1611" spans="1:3">
      <c r="B1611" t="s">
        <v>2</v>
      </c>
      <c r="C1611">
        <f>SUM(C1599:C1610)</f>
        <v>1082.77</v>
      </c>
    </row>
    <row r="1612" spans="1:3">
      <c r="B1612" t="s">
        <v>3</v>
      </c>
      <c r="C1612">
        <f>+B1610-B1598</f>
        <v>1082.7700000000114</v>
      </c>
    </row>
    <row r="1614" spans="1:3">
      <c r="A1614" t="s">
        <v>174</v>
      </c>
      <c r="B1614" t="s">
        <v>5</v>
      </c>
      <c r="C1614" s="58">
        <f>SUMIF(A1599:A1610,"&lt;0")</f>
        <v>-439888.62</v>
      </c>
    </row>
    <row r="1615" spans="1:3">
      <c r="A1615" t="str">
        <f>"SPY " &amp; COUNT(C1599:C1610) * 100 &amp; "股"</f>
        <v>SPY 600股</v>
      </c>
      <c r="B1615" t="s">
        <v>6</v>
      </c>
      <c r="C1615" s="58">
        <f>SUMIF(A1599:A1610,"&gt;0")</f>
        <v>440971.39</v>
      </c>
    </row>
    <row r="1616" spans="1:3">
      <c r="B1616" t="s">
        <v>7</v>
      </c>
      <c r="C1616" s="58">
        <f>+C1614+C1615</f>
        <v>1082.7700000000186</v>
      </c>
    </row>
    <row r="1617" spans="1:3">
      <c r="B1617" t="s">
        <v>8</v>
      </c>
      <c r="C1617" s="45">
        <f>C1616/ABS(C1614)</f>
        <v>2.4614639951359022E-3</v>
      </c>
    </row>
    <row r="1620" spans="1:3">
      <c r="A1620" t="s">
        <v>175</v>
      </c>
      <c r="B1620">
        <v>-262730.95</v>
      </c>
      <c r="C1620" t="s">
        <v>1</v>
      </c>
    </row>
    <row r="1621" spans="1:3">
      <c r="A1621">
        <v>72800.23</v>
      </c>
      <c r="B1621">
        <f t="shared" ref="B1621:B1642" si="47">+B1620+A1621</f>
        <v>-189930.72000000003</v>
      </c>
    </row>
    <row r="1622" spans="1:3">
      <c r="A1622">
        <v>72956.98</v>
      </c>
      <c r="B1622">
        <f t="shared" si="47"/>
        <v>-116973.74000000003</v>
      </c>
    </row>
    <row r="1623" spans="1:3">
      <c r="A1623">
        <v>-73018</v>
      </c>
      <c r="B1623">
        <f t="shared" si="47"/>
        <v>-189991.74000000005</v>
      </c>
      <c r="C1623">
        <v>-61.02</v>
      </c>
    </row>
    <row r="1624" spans="1:3">
      <c r="A1624">
        <v>-73083.5</v>
      </c>
      <c r="B1624">
        <f t="shared" si="47"/>
        <v>-263075.24000000005</v>
      </c>
      <c r="C1624">
        <v>-283.27</v>
      </c>
    </row>
    <row r="1625" spans="1:3">
      <c r="A1625">
        <v>-73284.990000000005</v>
      </c>
      <c r="B1625">
        <f t="shared" si="47"/>
        <v>-336360.23000000004</v>
      </c>
    </row>
    <row r="1626" spans="1:3">
      <c r="A1626">
        <v>73286.47</v>
      </c>
      <c r="B1626">
        <f t="shared" si="47"/>
        <v>-263073.76</v>
      </c>
      <c r="C1626">
        <v>1.48</v>
      </c>
    </row>
    <row r="1627" spans="1:3">
      <c r="A1627">
        <v>-73402.25</v>
      </c>
      <c r="B1627">
        <f t="shared" si="47"/>
        <v>-336476.01</v>
      </c>
    </row>
    <row r="1628" spans="1:3">
      <c r="A1628">
        <v>73385.97</v>
      </c>
      <c r="B1628">
        <f t="shared" si="47"/>
        <v>-263090.04000000004</v>
      </c>
      <c r="C1628">
        <v>-16.28</v>
      </c>
    </row>
    <row r="1629" spans="1:3">
      <c r="A1629">
        <v>73296.47</v>
      </c>
      <c r="B1629">
        <f t="shared" si="47"/>
        <v>-189793.57000000004</v>
      </c>
    </row>
    <row r="1630" spans="1:3">
      <c r="A1630">
        <v>-73249</v>
      </c>
      <c r="B1630">
        <f t="shared" si="47"/>
        <v>-263042.57000000007</v>
      </c>
      <c r="C1630">
        <v>47.47</v>
      </c>
    </row>
    <row r="1631" spans="1:3">
      <c r="A1631">
        <v>73173.97</v>
      </c>
      <c r="B1631">
        <f t="shared" si="47"/>
        <v>-189868.60000000006</v>
      </c>
    </row>
    <row r="1632" spans="1:3">
      <c r="A1632">
        <v>-73228.92</v>
      </c>
      <c r="B1632">
        <f t="shared" si="47"/>
        <v>-263097.52000000008</v>
      </c>
      <c r="C1632">
        <v>-54.95</v>
      </c>
    </row>
    <row r="1633" spans="1:3">
      <c r="A1633">
        <v>-73249.990000000005</v>
      </c>
      <c r="B1633">
        <f t="shared" si="47"/>
        <v>-336347.51000000007</v>
      </c>
    </row>
    <row r="1634" spans="1:3">
      <c r="A1634">
        <v>73281.48</v>
      </c>
      <c r="B1634">
        <f t="shared" si="47"/>
        <v>-263066.03000000009</v>
      </c>
      <c r="C1634">
        <v>31.49</v>
      </c>
    </row>
    <row r="1635" spans="1:3">
      <c r="A1635">
        <v>-73293</v>
      </c>
      <c r="B1635">
        <f t="shared" si="47"/>
        <v>-336359.03000000009</v>
      </c>
    </row>
    <row r="1636" spans="1:3">
      <c r="A1636">
        <v>-73253</v>
      </c>
      <c r="B1636">
        <f t="shared" si="47"/>
        <v>-409612.03000000009</v>
      </c>
    </row>
    <row r="1637" spans="1:3">
      <c r="A1637">
        <v>73252.97</v>
      </c>
      <c r="B1637">
        <f t="shared" si="47"/>
        <v>-336359.06000000006</v>
      </c>
      <c r="C1637">
        <v>-0.03</v>
      </c>
    </row>
    <row r="1638" spans="1:3">
      <c r="A1638">
        <v>-73284.5</v>
      </c>
      <c r="B1638">
        <f t="shared" si="47"/>
        <v>-409643.56000000006</v>
      </c>
    </row>
    <row r="1639" spans="1:3">
      <c r="A1639">
        <v>-73176</v>
      </c>
      <c r="B1639">
        <f t="shared" si="47"/>
        <v>-482819.56000000006</v>
      </c>
    </row>
    <row r="1640" spans="1:3">
      <c r="A1640">
        <v>73276.97</v>
      </c>
      <c r="B1640">
        <f t="shared" si="47"/>
        <v>-409542.59000000008</v>
      </c>
      <c r="C1640">
        <v>100.97</v>
      </c>
    </row>
    <row r="1641" spans="1:3">
      <c r="A1641">
        <v>73378.47</v>
      </c>
      <c r="B1641">
        <f t="shared" si="47"/>
        <v>-336164.12000000011</v>
      </c>
      <c r="C1641">
        <v>93.97</v>
      </c>
    </row>
    <row r="1642" spans="1:3">
      <c r="A1642">
        <v>73381.48</v>
      </c>
      <c r="B1642">
        <f t="shared" si="47"/>
        <v>-262782.64000000013</v>
      </c>
      <c r="C1642">
        <v>88.48</v>
      </c>
    </row>
    <row r="1643" spans="1:3">
      <c r="B1643" t="s">
        <v>2</v>
      </c>
      <c r="C1643">
        <f>SUM(C1621:C1642)</f>
        <v>-51.689999999999841</v>
      </c>
    </row>
    <row r="1644" spans="1:3">
      <c r="B1644" t="s">
        <v>3</v>
      </c>
      <c r="C1644">
        <f>+B1642-B1620</f>
        <v>-51.690000000118744</v>
      </c>
    </row>
    <row r="1646" spans="1:3">
      <c r="A1646" t="s">
        <v>176</v>
      </c>
      <c r="B1646" t="s">
        <v>5</v>
      </c>
      <c r="C1646" s="58">
        <f>SUMIF(A1621:A1642,"&lt;0")</f>
        <v>-805523.14999999991</v>
      </c>
    </row>
    <row r="1647" spans="1:3">
      <c r="A1647" t="str">
        <f>"SPY " &amp; COUNT(C1621:C1642) * 100 &amp; "股"</f>
        <v>SPY 1100股</v>
      </c>
      <c r="B1647" t="s">
        <v>6</v>
      </c>
      <c r="C1647" s="58">
        <f>SUMIF(A1621:A1642,"&gt;0")</f>
        <v>805471.45999999985</v>
      </c>
    </row>
    <row r="1648" spans="1:3">
      <c r="B1648" t="s">
        <v>7</v>
      </c>
      <c r="C1648" s="58">
        <f>+C1646+C1647</f>
        <v>-51.690000000060536</v>
      </c>
    </row>
    <row r="1649" spans="1:3">
      <c r="B1649" t="s">
        <v>8</v>
      </c>
      <c r="C1649" s="45">
        <f>C1648/ABS(C1646)</f>
        <v>-6.4169477935004779E-5</v>
      </c>
    </row>
    <row r="1652" spans="1:3">
      <c r="A1652" t="s">
        <v>177</v>
      </c>
      <c r="B1652">
        <v>38255.01</v>
      </c>
      <c r="C1652" t="s">
        <v>1</v>
      </c>
    </row>
    <row r="1653" spans="1:3">
      <c r="A1653">
        <v>73835.960000000006</v>
      </c>
      <c r="B1653">
        <f t="shared" ref="B1653:B1670" si="48">+B1652+A1653</f>
        <v>112090.97</v>
      </c>
    </row>
    <row r="1654" spans="1:3">
      <c r="A1654">
        <v>-73936.5</v>
      </c>
      <c r="B1654">
        <f t="shared" si="48"/>
        <v>38154.47</v>
      </c>
      <c r="C1654">
        <v>-100.54</v>
      </c>
    </row>
    <row r="1655" spans="1:3">
      <c r="A1655">
        <v>-73603.990000000005</v>
      </c>
      <c r="B1655">
        <f t="shared" si="48"/>
        <v>-35449.520000000004</v>
      </c>
    </row>
    <row r="1656" spans="1:3">
      <c r="A1656">
        <v>73484.47</v>
      </c>
      <c r="B1656">
        <f t="shared" si="48"/>
        <v>38034.949999999997</v>
      </c>
      <c r="C1656">
        <v>-119.52</v>
      </c>
    </row>
    <row r="1657" spans="1:3">
      <c r="A1657">
        <v>-73474</v>
      </c>
      <c r="B1657">
        <f t="shared" si="48"/>
        <v>-35439.050000000003</v>
      </c>
    </row>
    <row r="1658" spans="1:3">
      <c r="A1658">
        <v>-73294.990000000005</v>
      </c>
      <c r="B1658">
        <f t="shared" si="48"/>
        <v>-108734.04000000001</v>
      </c>
    </row>
    <row r="1659" spans="1:3">
      <c r="A1659">
        <v>73474.48</v>
      </c>
      <c r="B1659">
        <f t="shared" si="48"/>
        <v>-35259.560000000012</v>
      </c>
      <c r="C1659">
        <v>179.49</v>
      </c>
    </row>
    <row r="1660" spans="1:3">
      <c r="A1660">
        <v>73518.48</v>
      </c>
      <c r="B1660">
        <f t="shared" si="48"/>
        <v>38258.919999999984</v>
      </c>
      <c r="C1660">
        <v>44.48</v>
      </c>
    </row>
    <row r="1661" spans="1:3">
      <c r="A1661">
        <v>-73737.990000000005</v>
      </c>
      <c r="B1661">
        <f t="shared" si="48"/>
        <v>-35479.070000000022</v>
      </c>
    </row>
    <row r="1662" spans="1:3">
      <c r="A1662">
        <v>73707.070000000007</v>
      </c>
      <c r="B1662">
        <f t="shared" si="48"/>
        <v>38227.999999999985</v>
      </c>
      <c r="C1662">
        <v>-30.92</v>
      </c>
    </row>
    <row r="1663" spans="1:3">
      <c r="A1663">
        <v>-73676</v>
      </c>
      <c r="B1663">
        <f t="shared" si="48"/>
        <v>-35448.000000000015</v>
      </c>
    </row>
    <row r="1664" spans="1:3">
      <c r="A1664">
        <v>73739.960000000006</v>
      </c>
      <c r="B1664">
        <f t="shared" si="48"/>
        <v>38291.959999999992</v>
      </c>
      <c r="C1664">
        <v>63.96</v>
      </c>
    </row>
    <row r="1665" spans="1:3">
      <c r="A1665">
        <v>-73806</v>
      </c>
      <c r="B1665">
        <f t="shared" si="48"/>
        <v>-35514.040000000008</v>
      </c>
    </row>
    <row r="1666" spans="1:3">
      <c r="A1666">
        <v>73793.960000000006</v>
      </c>
      <c r="B1666">
        <f t="shared" si="48"/>
        <v>38279.919999999998</v>
      </c>
      <c r="C1666">
        <v>-12.04</v>
      </c>
    </row>
    <row r="1667" spans="1:3">
      <c r="A1667">
        <v>-73713</v>
      </c>
      <c r="B1667">
        <f t="shared" si="48"/>
        <v>-35433.08</v>
      </c>
    </row>
    <row r="1668" spans="1:3">
      <c r="A1668">
        <v>73714.47</v>
      </c>
      <c r="B1668">
        <f t="shared" si="48"/>
        <v>38281.39</v>
      </c>
      <c r="C1668">
        <v>1.47</v>
      </c>
    </row>
    <row r="1669" spans="1:3">
      <c r="A1669">
        <v>-73786.5</v>
      </c>
      <c r="B1669">
        <f t="shared" si="48"/>
        <v>-35505.11</v>
      </c>
    </row>
    <row r="1670" spans="1:3">
      <c r="A1670">
        <v>73789.960000000006</v>
      </c>
      <c r="B1670">
        <f t="shared" si="48"/>
        <v>38284.850000000006</v>
      </c>
      <c r="C1670">
        <v>3.46</v>
      </c>
    </row>
    <row r="1671" spans="1:3">
      <c r="B1671" t="s">
        <v>2</v>
      </c>
      <c r="C1671">
        <f>SUM(C1653:C1670)</f>
        <v>29.840000000000003</v>
      </c>
    </row>
    <row r="1672" spans="1:3">
      <c r="B1672" t="s">
        <v>3</v>
      </c>
      <c r="C1672">
        <f>+B1670-B1652</f>
        <v>29.840000000003783</v>
      </c>
    </row>
    <row r="1674" spans="1:3">
      <c r="A1674" t="s">
        <v>178</v>
      </c>
      <c r="B1674" t="s">
        <v>5</v>
      </c>
      <c r="C1674" s="58">
        <f>SUMIF(A1653:A1670,"&lt;0")</f>
        <v>-663028.97</v>
      </c>
    </row>
    <row r="1675" spans="1:3">
      <c r="A1675" t="str">
        <f>"SPY " &amp; COUNT(C1653:C1670) * 100 &amp; "股"</f>
        <v>SPY 900股</v>
      </c>
      <c r="B1675" t="s">
        <v>6</v>
      </c>
      <c r="C1675" s="58">
        <f>SUMIF(A1653:A1670,"&gt;0")</f>
        <v>663058.80999999994</v>
      </c>
    </row>
    <row r="1676" spans="1:3">
      <c r="B1676" t="s">
        <v>7</v>
      </c>
      <c r="C1676" s="58">
        <f>+C1674+C1675</f>
        <v>29.839999999967404</v>
      </c>
    </row>
    <row r="1677" spans="1:3">
      <c r="B1677" t="s">
        <v>8</v>
      </c>
      <c r="C1677" s="45">
        <f>C1676/ABS(C1674)</f>
        <v>4.5005574944888763E-5</v>
      </c>
    </row>
    <row r="1680" spans="1:3">
      <c r="A1680" t="s">
        <v>179</v>
      </c>
      <c r="B1680">
        <v>38203.32</v>
      </c>
      <c r="C1680" t="s">
        <v>1</v>
      </c>
    </row>
    <row r="1681" spans="1:3">
      <c r="A1681">
        <v>-74206.5</v>
      </c>
      <c r="B1681">
        <f t="shared" ref="B1681:B1692" si="49">+B1680+A1681</f>
        <v>-36003.18</v>
      </c>
    </row>
    <row r="1682" spans="1:3">
      <c r="A1682">
        <v>74204.45</v>
      </c>
      <c r="B1682">
        <f t="shared" si="49"/>
        <v>38201.269999999997</v>
      </c>
      <c r="C1682">
        <v>-2.0499999999999998</v>
      </c>
    </row>
    <row r="1683" spans="1:3">
      <c r="A1683">
        <v>74179.45</v>
      </c>
      <c r="B1683">
        <f t="shared" si="49"/>
        <v>112380.72</v>
      </c>
    </row>
    <row r="1684" spans="1:3">
      <c r="A1684">
        <v>-74207</v>
      </c>
      <c r="B1684">
        <f t="shared" si="49"/>
        <v>38173.72</v>
      </c>
      <c r="C1684">
        <v>-27.55</v>
      </c>
    </row>
    <row r="1685" spans="1:3">
      <c r="A1685">
        <v>-74281.5</v>
      </c>
      <c r="B1685">
        <f t="shared" si="49"/>
        <v>-36107.78</v>
      </c>
    </row>
    <row r="1686" spans="1:3">
      <c r="A1686">
        <v>74356.45</v>
      </c>
      <c r="B1686">
        <f t="shared" si="49"/>
        <v>38248.67</v>
      </c>
      <c r="C1686">
        <v>74.95</v>
      </c>
    </row>
    <row r="1687" spans="1:3">
      <c r="A1687">
        <v>-74355.5</v>
      </c>
      <c r="B1687">
        <f t="shared" si="49"/>
        <v>-36106.83</v>
      </c>
    </row>
    <row r="1688" spans="1:3">
      <c r="A1688">
        <v>74369.45</v>
      </c>
      <c r="B1688">
        <f t="shared" si="49"/>
        <v>38262.619999999995</v>
      </c>
      <c r="C1688">
        <v>13.95</v>
      </c>
    </row>
    <row r="1689" spans="1:3">
      <c r="A1689">
        <v>-74500.83</v>
      </c>
      <c r="B1689">
        <f t="shared" si="49"/>
        <v>-36238.210000000006</v>
      </c>
    </row>
    <row r="1690" spans="1:3">
      <c r="A1690">
        <v>-74442.5</v>
      </c>
      <c r="B1690">
        <f t="shared" si="49"/>
        <v>-110680.71</v>
      </c>
    </row>
    <row r="1691" spans="1:3">
      <c r="A1691">
        <v>74379.460000000006</v>
      </c>
      <c r="B1691">
        <f t="shared" si="49"/>
        <v>-36301.25</v>
      </c>
      <c r="C1691">
        <v>-63.04</v>
      </c>
    </row>
    <row r="1692" spans="1:3">
      <c r="A1692">
        <v>74537.45</v>
      </c>
      <c r="B1692">
        <f t="shared" si="49"/>
        <v>38236.199999999997</v>
      </c>
      <c r="C1692">
        <v>36.619999999999997</v>
      </c>
    </row>
    <row r="1693" spans="1:3">
      <c r="B1693" t="s">
        <v>2</v>
      </c>
      <c r="C1693">
        <f>SUM(C1681:C1692)</f>
        <v>32.879999999999995</v>
      </c>
    </row>
    <row r="1694" spans="1:3">
      <c r="B1694" t="s">
        <v>3</v>
      </c>
      <c r="C1694">
        <f>+B1692-B1680</f>
        <v>32.879999999997381</v>
      </c>
    </row>
    <row r="1696" spans="1:3">
      <c r="A1696" t="s">
        <v>180</v>
      </c>
      <c r="B1696" t="s">
        <v>5</v>
      </c>
      <c r="C1696" s="58">
        <f>SUMIF(A1681:A1692,"&lt;0")</f>
        <v>-445993.83</v>
      </c>
    </row>
    <row r="1697" spans="1:3">
      <c r="A1697" t="str">
        <f>"SPY " &amp; COUNT(C1681:C1692) * 100 &amp; "股"</f>
        <v>SPY 600股</v>
      </c>
      <c r="B1697" t="s">
        <v>6</v>
      </c>
      <c r="C1697" s="58">
        <f>SUMIF(A1681:A1692,"&gt;0")</f>
        <v>446026.71</v>
      </c>
    </row>
    <row r="1698" spans="1:3">
      <c r="B1698" t="s">
        <v>7</v>
      </c>
      <c r="C1698" s="58">
        <f>+C1696+C1697</f>
        <v>32.880000000004657</v>
      </c>
    </row>
    <row r="1699" spans="1:3">
      <c r="B1699" t="s">
        <v>8</v>
      </c>
      <c r="C1699" s="45">
        <f>C1698/ABS(C1696)</f>
        <v>7.3722992984016515E-5</v>
      </c>
    </row>
    <row r="1702" spans="1:3">
      <c r="A1702" t="s">
        <v>181</v>
      </c>
      <c r="B1702">
        <v>37959.1</v>
      </c>
      <c r="C1702" t="s">
        <v>1</v>
      </c>
    </row>
    <row r="1703" spans="1:3">
      <c r="A1703">
        <v>74352.45</v>
      </c>
      <c r="B1703">
        <f t="shared" ref="B1703:B1720" si="50">+B1702+A1703</f>
        <v>112311.54999999999</v>
      </c>
    </row>
    <row r="1704" spans="1:3">
      <c r="A1704">
        <v>-74341</v>
      </c>
      <c r="B1704">
        <f t="shared" si="50"/>
        <v>37970.549999999988</v>
      </c>
      <c r="C1704">
        <v>11.45</v>
      </c>
    </row>
    <row r="1705" spans="1:3">
      <c r="A1705">
        <v>-74638</v>
      </c>
      <c r="B1705">
        <f t="shared" si="50"/>
        <v>-36667.450000000012</v>
      </c>
    </row>
    <row r="1706" spans="1:3">
      <c r="A1706">
        <v>74690.45</v>
      </c>
      <c r="B1706">
        <f t="shared" si="50"/>
        <v>38022.999999999985</v>
      </c>
      <c r="C1706">
        <v>52.45</v>
      </c>
    </row>
    <row r="1707" spans="1:3">
      <c r="A1707">
        <v>-74680</v>
      </c>
      <c r="B1707">
        <f t="shared" si="50"/>
        <v>-36657.000000000015</v>
      </c>
    </row>
    <row r="1708" spans="1:3">
      <c r="A1708">
        <v>74681.94</v>
      </c>
      <c r="B1708">
        <f t="shared" si="50"/>
        <v>38024.939999999988</v>
      </c>
      <c r="C1708">
        <v>1.94</v>
      </c>
    </row>
    <row r="1709" spans="1:3">
      <c r="A1709">
        <v>-74637</v>
      </c>
      <c r="B1709">
        <f t="shared" si="50"/>
        <v>-36612.060000000012</v>
      </c>
    </row>
    <row r="1710" spans="1:3">
      <c r="A1710">
        <v>74731.94</v>
      </c>
      <c r="B1710">
        <f t="shared" si="50"/>
        <v>38119.87999999999</v>
      </c>
      <c r="C1710">
        <v>94.94</v>
      </c>
    </row>
    <row r="1711" spans="1:3">
      <c r="A1711">
        <v>-74777.36</v>
      </c>
      <c r="B1711">
        <f t="shared" si="50"/>
        <v>-36657.48000000001</v>
      </c>
    </row>
    <row r="1712" spans="1:3">
      <c r="A1712">
        <v>74799.44</v>
      </c>
      <c r="B1712">
        <f t="shared" si="50"/>
        <v>38141.959999999992</v>
      </c>
      <c r="C1712">
        <v>22.08</v>
      </c>
    </row>
    <row r="1713" spans="1:3">
      <c r="A1713">
        <v>-74880</v>
      </c>
      <c r="B1713">
        <f t="shared" si="50"/>
        <v>-36738.040000000008</v>
      </c>
    </row>
    <row r="1714" spans="1:3">
      <c r="A1714">
        <v>74873.16</v>
      </c>
      <c r="B1714">
        <f t="shared" si="50"/>
        <v>38135.119999999995</v>
      </c>
      <c r="C1714">
        <v>-6.84</v>
      </c>
    </row>
    <row r="1715" spans="1:3">
      <c r="A1715">
        <v>-74870</v>
      </c>
      <c r="B1715">
        <f t="shared" si="50"/>
        <v>-36734.880000000005</v>
      </c>
    </row>
    <row r="1716" spans="1:3">
      <c r="A1716">
        <v>-74877.789999999994</v>
      </c>
      <c r="B1716">
        <f t="shared" si="50"/>
        <v>-111612.67</v>
      </c>
    </row>
    <row r="1717" spans="1:3">
      <c r="A1717">
        <v>74899.44</v>
      </c>
      <c r="B1717">
        <f t="shared" si="50"/>
        <v>-36713.229999999996</v>
      </c>
      <c r="C1717">
        <v>21.65</v>
      </c>
    </row>
    <row r="1718" spans="1:3">
      <c r="A1718">
        <v>-74845.8</v>
      </c>
      <c r="B1718">
        <f t="shared" si="50"/>
        <v>-111559.03</v>
      </c>
    </row>
    <row r="1719" spans="1:3">
      <c r="A1719">
        <v>74679.44</v>
      </c>
      <c r="B1719">
        <f t="shared" si="50"/>
        <v>-36879.589999999997</v>
      </c>
      <c r="C1719">
        <v>-166.36</v>
      </c>
    </row>
    <row r="1720" spans="1:3">
      <c r="A1720">
        <v>74689.440000000002</v>
      </c>
      <c r="B1720">
        <f t="shared" si="50"/>
        <v>37809.850000000006</v>
      </c>
      <c r="C1720">
        <v>-180.56</v>
      </c>
    </row>
    <row r="1721" spans="1:3">
      <c r="B1721" t="s">
        <v>2</v>
      </c>
      <c r="C1721">
        <f>SUM(C1703:C1720)</f>
        <v>-149.25</v>
      </c>
    </row>
    <row r="1722" spans="1:3">
      <c r="B1722" t="s">
        <v>3</v>
      </c>
      <c r="C1722">
        <f>+B1720-B1702</f>
        <v>-149.24999999999272</v>
      </c>
    </row>
    <row r="1724" spans="1:3">
      <c r="A1724" t="s">
        <v>182</v>
      </c>
      <c r="B1724" t="s">
        <v>5</v>
      </c>
      <c r="C1724" s="58">
        <f>SUMIF(A1703:A1720,"&lt;0")</f>
        <v>-672546.95000000007</v>
      </c>
    </row>
    <row r="1725" spans="1:3">
      <c r="A1725" t="str">
        <f>"SPY " &amp; COUNT(C1703:C1720) * 100 &amp; "股"</f>
        <v>SPY 900股</v>
      </c>
      <c r="B1725" t="s">
        <v>6</v>
      </c>
      <c r="C1725" s="58">
        <f>SUMIF(A1703:A1720,"&gt;0")</f>
        <v>672397.7</v>
      </c>
    </row>
    <row r="1726" spans="1:3">
      <c r="B1726" t="s">
        <v>7</v>
      </c>
      <c r="C1726" s="58">
        <f>+C1724+C1725</f>
        <v>-149.25000000011642</v>
      </c>
    </row>
    <row r="1727" spans="1:3">
      <c r="B1727" t="s">
        <v>8</v>
      </c>
      <c r="C1727" s="45">
        <f>C1726/ABS(C1724)</f>
        <v>-2.2191759251917863E-4</v>
      </c>
    </row>
    <row r="1730" spans="1:3">
      <c r="A1730" t="s">
        <v>183</v>
      </c>
      <c r="B1730">
        <v>37877.35</v>
      </c>
      <c r="C1730" t="s">
        <v>1</v>
      </c>
    </row>
    <row r="1731" spans="1:3">
      <c r="A1731">
        <v>-75084</v>
      </c>
      <c r="B1731">
        <f t="shared" ref="B1731:B1770" si="51">+B1730+A1731</f>
        <v>-37206.65</v>
      </c>
    </row>
    <row r="1732" spans="1:3">
      <c r="A1732">
        <v>75098.53</v>
      </c>
      <c r="B1732">
        <f t="shared" si="51"/>
        <v>37891.879999999997</v>
      </c>
      <c r="C1732">
        <v>14.53</v>
      </c>
    </row>
    <row r="1733" spans="1:3">
      <c r="A1733">
        <v>-75052.94</v>
      </c>
      <c r="B1733">
        <f t="shared" si="51"/>
        <v>-37161.060000000005</v>
      </c>
    </row>
    <row r="1734" spans="1:3">
      <c r="A1734">
        <v>75061.929999999993</v>
      </c>
      <c r="B1734">
        <f t="shared" si="51"/>
        <v>37900.869999999988</v>
      </c>
      <c r="C1734">
        <v>8.99</v>
      </c>
    </row>
    <row r="1735" spans="1:3">
      <c r="A1735">
        <v>-75074</v>
      </c>
      <c r="B1735">
        <f t="shared" si="51"/>
        <v>-37173.130000000012</v>
      </c>
    </row>
    <row r="1736" spans="1:3">
      <c r="A1736">
        <v>75005.929999999993</v>
      </c>
      <c r="B1736">
        <f t="shared" si="51"/>
        <v>37832.799999999981</v>
      </c>
      <c r="C1736">
        <v>-68.069999999999993</v>
      </c>
    </row>
    <row r="1737" spans="1:3">
      <c r="A1737">
        <v>-75072.67</v>
      </c>
      <c r="B1737">
        <f t="shared" si="51"/>
        <v>-37239.870000000017</v>
      </c>
    </row>
    <row r="1738" spans="1:3">
      <c r="A1738">
        <v>74999.44</v>
      </c>
      <c r="B1738">
        <f t="shared" si="51"/>
        <v>37759.569999999985</v>
      </c>
      <c r="C1738">
        <v>-73.23</v>
      </c>
    </row>
    <row r="1739" spans="1:3">
      <c r="A1739">
        <v>74837.440000000002</v>
      </c>
      <c r="B1739">
        <f t="shared" si="51"/>
        <v>112597.00999999998</v>
      </c>
    </row>
    <row r="1740" spans="1:3">
      <c r="A1740">
        <v>-74840.899999999994</v>
      </c>
      <c r="B1740">
        <f t="shared" si="51"/>
        <v>37756.109999999986</v>
      </c>
      <c r="C1740">
        <v>-3.46</v>
      </c>
    </row>
    <row r="1741" spans="1:3">
      <c r="A1741">
        <v>-74677</v>
      </c>
      <c r="B1741">
        <f t="shared" si="51"/>
        <v>-36920.890000000014</v>
      </c>
    </row>
    <row r="1742" spans="1:3">
      <c r="A1742">
        <v>-74635</v>
      </c>
      <c r="B1742">
        <f t="shared" si="51"/>
        <v>-111555.89000000001</v>
      </c>
    </row>
    <row r="1743" spans="1:3">
      <c r="A1743">
        <v>74750.44</v>
      </c>
      <c r="B1743">
        <f t="shared" si="51"/>
        <v>-36805.450000000012</v>
      </c>
      <c r="C1743">
        <v>115.44</v>
      </c>
    </row>
    <row r="1744" spans="1:3">
      <c r="A1744">
        <v>-74626.179999999993</v>
      </c>
      <c r="B1744">
        <f t="shared" si="51"/>
        <v>-111431.63</v>
      </c>
    </row>
    <row r="1745" spans="1:3">
      <c r="A1745">
        <v>-74519.990000000005</v>
      </c>
      <c r="B1745">
        <f t="shared" si="51"/>
        <v>-185951.62</v>
      </c>
    </row>
    <row r="1746" spans="1:3">
      <c r="A1746">
        <v>74521.850000000006</v>
      </c>
      <c r="B1746">
        <f t="shared" si="51"/>
        <v>-111429.76999999999</v>
      </c>
      <c r="C1746">
        <v>1.86</v>
      </c>
    </row>
    <row r="1747" spans="1:3">
      <c r="A1747">
        <v>74638.94</v>
      </c>
      <c r="B1747">
        <f t="shared" si="51"/>
        <v>-36790.829999999987</v>
      </c>
      <c r="C1747">
        <v>12.76</v>
      </c>
    </row>
    <row r="1748" spans="1:3">
      <c r="A1748">
        <v>-74474.5</v>
      </c>
      <c r="B1748">
        <f t="shared" si="51"/>
        <v>-111265.32999999999</v>
      </c>
    </row>
    <row r="1749" spans="1:3">
      <c r="A1749">
        <v>74535.94</v>
      </c>
      <c r="B1749">
        <f t="shared" si="51"/>
        <v>-36729.389999999985</v>
      </c>
      <c r="C1749">
        <v>61.44</v>
      </c>
    </row>
    <row r="1750" spans="1:3">
      <c r="A1750">
        <v>-74594.5</v>
      </c>
      <c r="B1750">
        <f t="shared" si="51"/>
        <v>-111323.88999999998</v>
      </c>
    </row>
    <row r="1751" spans="1:3">
      <c r="A1751">
        <v>74653.83</v>
      </c>
      <c r="B1751">
        <f t="shared" si="51"/>
        <v>-36670.059999999983</v>
      </c>
      <c r="C1751">
        <v>59.33</v>
      </c>
    </row>
    <row r="1752" spans="1:3">
      <c r="A1752">
        <v>-74450.990000000005</v>
      </c>
      <c r="B1752">
        <f t="shared" si="51"/>
        <v>-111121.04999999999</v>
      </c>
    </row>
    <row r="1753" spans="1:3">
      <c r="A1753">
        <v>74450.95</v>
      </c>
      <c r="B1753">
        <f t="shared" si="51"/>
        <v>-36670.099999999991</v>
      </c>
      <c r="C1753">
        <v>-0.04</v>
      </c>
    </row>
    <row r="1754" spans="1:3">
      <c r="A1754">
        <v>-74415.199999999997</v>
      </c>
      <c r="B1754">
        <f t="shared" si="51"/>
        <v>-111085.29999999999</v>
      </c>
    </row>
    <row r="1755" spans="1:3">
      <c r="A1755">
        <v>74422.95</v>
      </c>
      <c r="B1755">
        <f t="shared" si="51"/>
        <v>-36662.349999999991</v>
      </c>
      <c r="C1755">
        <v>7.75</v>
      </c>
    </row>
    <row r="1756" spans="1:3">
      <c r="A1756">
        <v>-74419.5</v>
      </c>
      <c r="B1756">
        <f t="shared" si="51"/>
        <v>-111081.84999999999</v>
      </c>
    </row>
    <row r="1757" spans="1:3">
      <c r="A1757">
        <v>74450.45</v>
      </c>
      <c r="B1757">
        <f t="shared" si="51"/>
        <v>-36631.399999999994</v>
      </c>
      <c r="C1757">
        <v>30.95</v>
      </c>
    </row>
    <row r="1758" spans="1:3">
      <c r="A1758">
        <v>-74455.69</v>
      </c>
      <c r="B1758">
        <f t="shared" si="51"/>
        <v>-111087.09</v>
      </c>
    </row>
    <row r="1759" spans="1:3">
      <c r="A1759">
        <v>74391.45</v>
      </c>
      <c r="B1759">
        <f t="shared" si="51"/>
        <v>-36695.64</v>
      </c>
      <c r="C1759">
        <v>-64.239999999999995</v>
      </c>
    </row>
    <row r="1760" spans="1:3">
      <c r="A1760">
        <v>-74274.990000000005</v>
      </c>
      <c r="B1760">
        <f t="shared" si="51"/>
        <v>-110970.63</v>
      </c>
    </row>
    <row r="1761" spans="1:3">
      <c r="A1761">
        <v>74321.17</v>
      </c>
      <c r="B1761">
        <f t="shared" si="51"/>
        <v>-36649.460000000006</v>
      </c>
      <c r="C1761">
        <v>46.18</v>
      </c>
    </row>
    <row r="1762" spans="1:3">
      <c r="A1762">
        <v>-74214.789999999994</v>
      </c>
      <c r="B1762">
        <f t="shared" si="51"/>
        <v>-110864.25</v>
      </c>
    </row>
    <row r="1763" spans="1:3">
      <c r="A1763">
        <v>74171.81</v>
      </c>
      <c r="B1763">
        <f t="shared" si="51"/>
        <v>-36692.44</v>
      </c>
      <c r="C1763">
        <v>-42.98</v>
      </c>
    </row>
    <row r="1764" spans="1:3">
      <c r="A1764">
        <v>-74166</v>
      </c>
      <c r="B1764">
        <f t="shared" si="51"/>
        <v>-110858.44</v>
      </c>
    </row>
    <row r="1765" spans="1:3">
      <c r="A1765">
        <v>74173.55</v>
      </c>
      <c r="B1765">
        <f t="shared" si="51"/>
        <v>-36684.89</v>
      </c>
      <c r="C1765">
        <v>7.55</v>
      </c>
    </row>
    <row r="1766" spans="1:3">
      <c r="A1766">
        <v>-74092.600000000006</v>
      </c>
      <c r="B1766">
        <f t="shared" si="51"/>
        <v>-110777.49</v>
      </c>
    </row>
    <row r="1767" spans="1:3">
      <c r="A1767">
        <v>74069.45</v>
      </c>
      <c r="B1767">
        <f t="shared" si="51"/>
        <v>-36708.040000000008</v>
      </c>
      <c r="C1767">
        <v>-23.15</v>
      </c>
    </row>
    <row r="1768" spans="1:3">
      <c r="A1768">
        <v>74055.81</v>
      </c>
      <c r="B1768">
        <f t="shared" si="51"/>
        <v>37347.76999999999</v>
      </c>
      <c r="C1768">
        <v>-621.19000000000005</v>
      </c>
    </row>
    <row r="1769" spans="1:3">
      <c r="A1769">
        <v>-74052.990000000005</v>
      </c>
      <c r="B1769">
        <f t="shared" si="51"/>
        <v>-36705.220000000016</v>
      </c>
    </row>
    <row r="1770" spans="1:3">
      <c r="A1770">
        <v>74087.17</v>
      </c>
      <c r="B1770">
        <f t="shared" si="51"/>
        <v>37381.949999999983</v>
      </c>
      <c r="C1770">
        <v>34.18</v>
      </c>
    </row>
    <row r="1771" spans="1:3">
      <c r="B1771" t="s">
        <v>2</v>
      </c>
      <c r="C1771">
        <f>SUM(C1731:C1770)</f>
        <v>-495.40000000000003</v>
      </c>
    </row>
    <row r="1772" spans="1:3">
      <c r="B1772" t="s">
        <v>3</v>
      </c>
      <c r="C1772">
        <f>+B1770-B1730</f>
        <v>-495.40000000001601</v>
      </c>
    </row>
    <row r="1774" spans="1:3">
      <c r="A1774" t="s">
        <v>184</v>
      </c>
      <c r="B1774" t="s">
        <v>5</v>
      </c>
      <c r="C1774" s="58">
        <f>SUMIF(A1731:A1770,"&lt;0")</f>
        <v>-1491194.43</v>
      </c>
    </row>
    <row r="1775" spans="1:3">
      <c r="A1775" t="str">
        <f>"SPY " &amp; COUNT(C1731:C1770) * 100 &amp; "股"</f>
        <v>SPY 2000股</v>
      </c>
      <c r="B1775" t="s">
        <v>6</v>
      </c>
      <c r="C1775" s="58">
        <f>SUMIF(A1731:A1770,"&gt;0")</f>
        <v>1490699.0299999998</v>
      </c>
    </row>
    <row r="1776" spans="1:3">
      <c r="B1776" t="s">
        <v>7</v>
      </c>
      <c r="C1776" s="58">
        <f>+C1774+C1775</f>
        <v>-495.4000000001397</v>
      </c>
    </row>
    <row r="1777" spans="1:3">
      <c r="B1777" t="s">
        <v>8</v>
      </c>
      <c r="C1777" s="45">
        <f>C1776/ABS(C1774)</f>
        <v>-3.322169061482745E-4</v>
      </c>
    </row>
    <row r="1780" spans="1:3">
      <c r="A1780" t="s">
        <v>185</v>
      </c>
      <c r="B1780">
        <v>37842.730000000003</v>
      </c>
      <c r="C1780" t="s">
        <v>1</v>
      </c>
    </row>
    <row r="1781" spans="1:3">
      <c r="A1781">
        <v>-74875.5</v>
      </c>
      <c r="B1781">
        <f t="shared" ref="B1781:B1796" si="52">+B1780+A1781</f>
        <v>-37032.769999999997</v>
      </c>
    </row>
    <row r="1782" spans="1:3">
      <c r="A1782">
        <v>74851.94</v>
      </c>
      <c r="B1782">
        <f t="shared" si="52"/>
        <v>37819.170000000006</v>
      </c>
      <c r="C1782">
        <v>-23.56</v>
      </c>
    </row>
    <row r="1783" spans="1:3">
      <c r="A1783">
        <v>-74896.28</v>
      </c>
      <c r="B1783">
        <f t="shared" si="52"/>
        <v>-37077.109999999993</v>
      </c>
    </row>
    <row r="1784" spans="1:3">
      <c r="A1784">
        <v>74911.45</v>
      </c>
      <c r="B1784">
        <f t="shared" si="52"/>
        <v>37834.340000000004</v>
      </c>
      <c r="C1784">
        <v>15.17</v>
      </c>
    </row>
    <row r="1785" spans="1:3">
      <c r="A1785">
        <v>-74966.53</v>
      </c>
      <c r="B1785">
        <f t="shared" si="52"/>
        <v>-37132.189999999995</v>
      </c>
    </row>
    <row r="1786" spans="1:3">
      <c r="A1786">
        <v>74977.440000000002</v>
      </c>
      <c r="B1786">
        <f t="shared" si="52"/>
        <v>37845.250000000007</v>
      </c>
      <c r="C1786">
        <v>10.91</v>
      </c>
    </row>
    <row r="1787" spans="1:3">
      <c r="A1787">
        <v>-75057.5</v>
      </c>
      <c r="B1787">
        <f t="shared" si="52"/>
        <v>-37212.249999999993</v>
      </c>
    </row>
    <row r="1788" spans="1:3">
      <c r="A1788">
        <v>-75066.5</v>
      </c>
      <c r="B1788">
        <f t="shared" si="52"/>
        <v>-112278.75</v>
      </c>
    </row>
    <row r="1789" spans="1:3">
      <c r="A1789">
        <v>75065.67</v>
      </c>
      <c r="B1789">
        <f t="shared" si="52"/>
        <v>-37213.08</v>
      </c>
      <c r="C1789">
        <v>-0.83</v>
      </c>
    </row>
    <row r="1790" spans="1:3">
      <c r="A1790">
        <v>-75066</v>
      </c>
      <c r="B1790">
        <f t="shared" si="52"/>
        <v>-112279.08</v>
      </c>
    </row>
    <row r="1791" spans="1:3">
      <c r="A1791">
        <v>75072.94</v>
      </c>
      <c r="B1791">
        <f t="shared" si="52"/>
        <v>-37206.14</v>
      </c>
      <c r="C1791">
        <v>6.94</v>
      </c>
    </row>
    <row r="1792" spans="1:3">
      <c r="A1792">
        <v>-75069.5</v>
      </c>
      <c r="B1792">
        <f t="shared" si="52"/>
        <v>-112275.64</v>
      </c>
    </row>
    <row r="1793" spans="1:3">
      <c r="A1793">
        <v>75099.94</v>
      </c>
      <c r="B1793">
        <f t="shared" si="52"/>
        <v>-37175.699999999997</v>
      </c>
      <c r="C1793">
        <v>30.44</v>
      </c>
    </row>
    <row r="1794" spans="1:3">
      <c r="A1794">
        <v>75092.800000000003</v>
      </c>
      <c r="B1794">
        <f t="shared" si="52"/>
        <v>37917.100000000006</v>
      </c>
      <c r="C1794">
        <v>35.299999999999997</v>
      </c>
    </row>
    <row r="1795" spans="1:3">
      <c r="A1795">
        <v>-75062</v>
      </c>
      <c r="B1795">
        <f t="shared" si="52"/>
        <v>-37144.899999999994</v>
      </c>
    </row>
    <row r="1796" spans="1:3">
      <c r="A1796">
        <v>75142.39</v>
      </c>
      <c r="B1796">
        <f t="shared" si="52"/>
        <v>37997.490000000005</v>
      </c>
      <c r="C1796">
        <v>80.39</v>
      </c>
    </row>
    <row r="1797" spans="1:3">
      <c r="B1797" t="s">
        <v>2</v>
      </c>
      <c r="C1797">
        <f>SUM(C1781:C1796)</f>
        <v>154.76</v>
      </c>
    </row>
    <row r="1798" spans="1:3">
      <c r="B1798" t="s">
        <v>3</v>
      </c>
      <c r="C1798">
        <f>+B1796-B1780</f>
        <v>154.76000000000204</v>
      </c>
    </row>
    <row r="1800" spans="1:3">
      <c r="A1800" t="s">
        <v>186</v>
      </c>
      <c r="B1800" t="s">
        <v>5</v>
      </c>
      <c r="C1800" s="58">
        <f>SUMIF(A1781:A1796,"&lt;0")</f>
        <v>-600059.81000000006</v>
      </c>
    </row>
    <row r="1801" spans="1:3">
      <c r="A1801" t="str">
        <f>"SPY " &amp; COUNT(C1781:C1796) * 100 &amp; "股"</f>
        <v>SPY 800股</v>
      </c>
      <c r="B1801" t="s">
        <v>6</v>
      </c>
      <c r="C1801" s="58">
        <f>SUMIF(A1781:A1796,"&gt;0")</f>
        <v>600214.57000000007</v>
      </c>
    </row>
    <row r="1802" spans="1:3">
      <c r="B1802" t="s">
        <v>7</v>
      </c>
      <c r="C1802" s="58">
        <f>+C1800+C1801</f>
        <v>154.76000000000931</v>
      </c>
    </row>
    <row r="1803" spans="1:3">
      <c r="B1803" t="s">
        <v>8</v>
      </c>
      <c r="C1803" s="45">
        <f>C1802/ABS(C1800)</f>
        <v>2.5790762424167233E-4</v>
      </c>
    </row>
    <row r="1806" spans="1:3">
      <c r="A1806" t="s">
        <v>187</v>
      </c>
      <c r="B1806">
        <v>37347.33</v>
      </c>
      <c r="C1806" t="s">
        <v>1</v>
      </c>
    </row>
    <row r="1807" spans="1:3">
      <c r="A1807">
        <v>-74962</v>
      </c>
      <c r="B1807">
        <f t="shared" ref="B1807:B1828" si="53">+B1806+A1807</f>
        <v>-37614.67</v>
      </c>
    </row>
    <row r="1808" spans="1:3">
      <c r="A1808">
        <v>74889.84</v>
      </c>
      <c r="B1808">
        <f t="shared" si="53"/>
        <v>37275.17</v>
      </c>
      <c r="C1808">
        <v>-72.16</v>
      </c>
    </row>
    <row r="1809" spans="1:3">
      <c r="A1809">
        <v>-74874.5</v>
      </c>
      <c r="B1809">
        <f t="shared" si="53"/>
        <v>-37599.33</v>
      </c>
    </row>
    <row r="1810" spans="1:3">
      <c r="A1810">
        <v>74880.259999999995</v>
      </c>
      <c r="B1810">
        <f t="shared" si="53"/>
        <v>37280.929999999993</v>
      </c>
      <c r="C1810">
        <v>5.76</v>
      </c>
    </row>
    <row r="1811" spans="1:3">
      <c r="A1811">
        <v>-74678</v>
      </c>
      <c r="B1811">
        <f t="shared" si="53"/>
        <v>-37397.070000000007</v>
      </c>
    </row>
    <row r="1812" spans="1:3">
      <c r="A1812">
        <v>74722.94</v>
      </c>
      <c r="B1812">
        <f t="shared" si="53"/>
        <v>37325.869999999995</v>
      </c>
      <c r="C1812">
        <v>44.94</v>
      </c>
    </row>
    <row r="1813" spans="1:3">
      <c r="A1813">
        <v>-74715</v>
      </c>
      <c r="B1813">
        <f t="shared" si="53"/>
        <v>-37389.130000000005</v>
      </c>
    </row>
    <row r="1814" spans="1:3">
      <c r="A1814">
        <v>74698.45</v>
      </c>
      <c r="B1814">
        <f t="shared" si="53"/>
        <v>37309.319999999992</v>
      </c>
      <c r="C1814">
        <v>-16.55</v>
      </c>
    </row>
    <row r="1815" spans="1:3">
      <c r="A1815">
        <v>-74630.5</v>
      </c>
      <c r="B1815">
        <f t="shared" si="53"/>
        <v>-37321.180000000008</v>
      </c>
    </row>
    <row r="1816" spans="1:3">
      <c r="A1816">
        <v>74621.94</v>
      </c>
      <c r="B1816">
        <f t="shared" si="53"/>
        <v>37300.759999999995</v>
      </c>
      <c r="C1816">
        <v>-8.56</v>
      </c>
    </row>
    <row r="1817" spans="1:3">
      <c r="A1817">
        <v>-74659.25</v>
      </c>
      <c r="B1817">
        <f t="shared" si="53"/>
        <v>-37358.490000000005</v>
      </c>
    </row>
    <row r="1818" spans="1:3">
      <c r="A1818">
        <v>74670.44</v>
      </c>
      <c r="B1818">
        <f t="shared" si="53"/>
        <v>37311.949999999997</v>
      </c>
      <c r="C1818">
        <v>11.19</v>
      </c>
    </row>
    <row r="1819" spans="1:3">
      <c r="A1819">
        <v>-74659</v>
      </c>
      <c r="B1819">
        <f t="shared" si="53"/>
        <v>-37347.050000000003</v>
      </c>
    </row>
    <row r="1820" spans="1:3">
      <c r="A1820">
        <v>74661.440000000002</v>
      </c>
      <c r="B1820">
        <f t="shared" si="53"/>
        <v>37314.39</v>
      </c>
      <c r="C1820">
        <v>2.44</v>
      </c>
    </row>
    <row r="1821" spans="1:3">
      <c r="A1821">
        <v>-74587.58</v>
      </c>
      <c r="B1821">
        <f t="shared" si="53"/>
        <v>-37273.19</v>
      </c>
    </row>
    <row r="1822" spans="1:3">
      <c r="A1822">
        <v>74607.94</v>
      </c>
      <c r="B1822">
        <f t="shared" si="53"/>
        <v>37334.75</v>
      </c>
      <c r="C1822">
        <v>20.36</v>
      </c>
    </row>
    <row r="1823" spans="1:3">
      <c r="A1823">
        <v>-74603.5</v>
      </c>
      <c r="B1823">
        <f t="shared" si="53"/>
        <v>-37268.75</v>
      </c>
    </row>
    <row r="1824" spans="1:3">
      <c r="A1824">
        <v>74627.45</v>
      </c>
      <c r="B1824">
        <f t="shared" si="53"/>
        <v>37358.699999999997</v>
      </c>
      <c r="C1824">
        <v>23.95</v>
      </c>
    </row>
    <row r="1825" spans="1:3">
      <c r="A1825">
        <v>-74873.61</v>
      </c>
      <c r="B1825">
        <f t="shared" si="53"/>
        <v>-37514.910000000003</v>
      </c>
    </row>
    <row r="1826" spans="1:3">
      <c r="A1826">
        <v>74891.570000000007</v>
      </c>
      <c r="B1826">
        <f t="shared" si="53"/>
        <v>37376.660000000003</v>
      </c>
      <c r="C1826">
        <v>17.96</v>
      </c>
    </row>
    <row r="1827" spans="1:3">
      <c r="A1827">
        <v>-74892</v>
      </c>
      <c r="B1827">
        <f t="shared" si="53"/>
        <v>-37515.339999999997</v>
      </c>
    </row>
    <row r="1828" spans="1:3">
      <c r="A1828">
        <v>74895.199999999997</v>
      </c>
      <c r="B1828">
        <f t="shared" si="53"/>
        <v>37379.86</v>
      </c>
      <c r="C1828">
        <v>3.2</v>
      </c>
    </row>
    <row r="1829" spans="1:3">
      <c r="B1829" t="s">
        <v>2</v>
      </c>
      <c r="C1829">
        <f>SUM(C1807:C1828)</f>
        <v>32.53</v>
      </c>
    </row>
    <row r="1830" spans="1:3">
      <c r="B1830" t="s">
        <v>3</v>
      </c>
      <c r="C1830">
        <f>+B1828-B1806</f>
        <v>32.529999999998836</v>
      </c>
    </row>
    <row r="1832" spans="1:3">
      <c r="A1832" t="s">
        <v>188</v>
      </c>
      <c r="B1832" t="s">
        <v>5</v>
      </c>
      <c r="C1832" s="58">
        <f>SUMIF(A1807:A1828,"&lt;0")</f>
        <v>-822134.94</v>
      </c>
    </row>
    <row r="1833" spans="1:3">
      <c r="A1833" t="str">
        <f>"SPY " &amp; COUNT(C1807:C1828) * 100 &amp; "股"</f>
        <v>SPY 1100股</v>
      </c>
      <c r="B1833" t="s">
        <v>6</v>
      </c>
      <c r="C1833" s="58">
        <f>SUMIF(A1807:A1828,"&gt;0")</f>
        <v>822167.47</v>
      </c>
    </row>
    <row r="1834" spans="1:3">
      <c r="B1834" t="s">
        <v>7</v>
      </c>
      <c r="C1834" s="58">
        <f>+C1832+C1833</f>
        <v>32.53000000002794</v>
      </c>
    </row>
    <row r="1835" spans="1:3">
      <c r="B1835" t="s">
        <v>8</v>
      </c>
      <c r="C1835" s="45">
        <f>C1834/ABS(C1832)</f>
        <v>3.9567713786775612E-5</v>
      </c>
    </row>
    <row r="1838" spans="1:3">
      <c r="A1838" t="s">
        <v>189</v>
      </c>
      <c r="B1838">
        <v>37502.04</v>
      </c>
      <c r="C1838" t="s">
        <v>1</v>
      </c>
    </row>
    <row r="1839" spans="1:3">
      <c r="A1839">
        <v>74341.95</v>
      </c>
      <c r="B1839">
        <f t="shared" ref="B1839:B1856" si="54">+B1838+A1839</f>
        <v>111843.98999999999</v>
      </c>
    </row>
    <row r="1840" spans="1:3">
      <c r="A1840">
        <v>-74396.2</v>
      </c>
      <c r="B1840">
        <f t="shared" si="54"/>
        <v>37447.789999999994</v>
      </c>
      <c r="C1840">
        <v>-54.25</v>
      </c>
    </row>
    <row r="1841" spans="1:3">
      <c r="A1841">
        <v>-74396.5</v>
      </c>
      <c r="B1841">
        <f t="shared" si="54"/>
        <v>-36948.710000000006</v>
      </c>
    </row>
    <row r="1842" spans="1:3">
      <c r="A1842">
        <v>74427.95</v>
      </c>
      <c r="B1842">
        <f t="shared" si="54"/>
        <v>37479.239999999991</v>
      </c>
      <c r="C1842">
        <v>31.45</v>
      </c>
    </row>
    <row r="1843" spans="1:3">
      <c r="A1843">
        <v>-74370.5</v>
      </c>
      <c r="B1843">
        <f t="shared" si="54"/>
        <v>-36891.260000000009</v>
      </c>
    </row>
    <row r="1844" spans="1:3">
      <c r="A1844">
        <v>74365.95</v>
      </c>
      <c r="B1844">
        <f t="shared" si="54"/>
        <v>37474.689999999988</v>
      </c>
      <c r="C1844">
        <v>-4.55</v>
      </c>
    </row>
    <row r="1845" spans="1:3">
      <c r="A1845">
        <v>-74245</v>
      </c>
      <c r="B1845">
        <f t="shared" si="54"/>
        <v>-36770.310000000012</v>
      </c>
    </row>
    <row r="1846" spans="1:3">
      <c r="A1846">
        <v>74163.45</v>
      </c>
      <c r="B1846">
        <f t="shared" si="54"/>
        <v>37393.139999999985</v>
      </c>
      <c r="C1846">
        <v>-81.55</v>
      </c>
    </row>
    <row r="1847" spans="1:3">
      <c r="A1847">
        <v>-74141.5</v>
      </c>
      <c r="B1847">
        <f t="shared" si="54"/>
        <v>-36748.360000000015</v>
      </c>
    </row>
    <row r="1848" spans="1:3">
      <c r="A1848">
        <v>-74131.990000000005</v>
      </c>
      <c r="B1848">
        <f t="shared" si="54"/>
        <v>-110880.35000000002</v>
      </c>
    </row>
    <row r="1849" spans="1:3">
      <c r="A1849">
        <v>74092.45</v>
      </c>
      <c r="B1849">
        <f t="shared" si="54"/>
        <v>-36787.900000000023</v>
      </c>
      <c r="C1849">
        <v>-39.54</v>
      </c>
    </row>
    <row r="1850" spans="1:3">
      <c r="A1850">
        <v>74052.45</v>
      </c>
      <c r="B1850">
        <f t="shared" si="54"/>
        <v>37264.549999999974</v>
      </c>
      <c r="C1850">
        <v>-89.05</v>
      </c>
    </row>
    <row r="1851" spans="1:3">
      <c r="A1851">
        <v>-74033.5</v>
      </c>
      <c r="B1851">
        <f t="shared" si="54"/>
        <v>-36768.950000000026</v>
      </c>
    </row>
    <row r="1852" spans="1:3">
      <c r="A1852">
        <v>74057.45</v>
      </c>
      <c r="B1852">
        <f t="shared" si="54"/>
        <v>37288.499999999971</v>
      </c>
      <c r="C1852">
        <v>23.95</v>
      </c>
    </row>
    <row r="1853" spans="1:3">
      <c r="A1853">
        <v>-74025.5</v>
      </c>
      <c r="B1853">
        <f t="shared" si="54"/>
        <v>-36737.000000000029</v>
      </c>
    </row>
    <row r="1854" spans="1:3">
      <c r="A1854">
        <v>74064.97</v>
      </c>
      <c r="B1854">
        <f t="shared" si="54"/>
        <v>37327.969999999972</v>
      </c>
      <c r="C1854">
        <v>39.47</v>
      </c>
    </row>
    <row r="1855" spans="1:3">
      <c r="A1855">
        <v>-74222.899999999994</v>
      </c>
      <c r="B1855">
        <f t="shared" si="54"/>
        <v>-36894.930000000022</v>
      </c>
    </row>
    <row r="1856" spans="1:3">
      <c r="A1856">
        <v>74251.95</v>
      </c>
      <c r="B1856">
        <f t="shared" si="54"/>
        <v>37357.019999999975</v>
      </c>
      <c r="C1856">
        <v>29.05</v>
      </c>
    </row>
    <row r="1857" spans="1:4">
      <c r="B1857" t="s">
        <v>2</v>
      </c>
      <c r="C1857">
        <f>SUM(C1839:C1856)</f>
        <v>-145.02000000000001</v>
      </c>
    </row>
    <row r="1858" spans="1:4">
      <c r="B1858" t="s">
        <v>3</v>
      </c>
      <c r="C1858">
        <f>+B1856-B1838</f>
        <v>-145.0200000000259</v>
      </c>
    </row>
    <row r="1860" spans="1:4">
      <c r="A1860" t="s">
        <v>190</v>
      </c>
      <c r="B1860" t="s">
        <v>5</v>
      </c>
      <c r="C1860" s="58">
        <f>SUMIF(A1839:A1856,"&lt;0")</f>
        <v>-667963.59</v>
      </c>
    </row>
    <row r="1861" spans="1:4">
      <c r="A1861" t="str">
        <f>"SPY " &amp; COUNT(C1839:C1856) * 100 &amp; "股"</f>
        <v>SPY 900股</v>
      </c>
      <c r="B1861" t="s">
        <v>6</v>
      </c>
      <c r="C1861" s="58">
        <f>SUMIF(A1839:A1856,"&gt;0")</f>
        <v>667818.56999999995</v>
      </c>
    </row>
    <row r="1862" spans="1:4">
      <c r="B1862" t="s">
        <v>7</v>
      </c>
      <c r="C1862" s="58">
        <f>+C1860+C1861</f>
        <v>-145.02000000001863</v>
      </c>
    </row>
    <row r="1863" spans="1:4">
      <c r="B1863" t="s">
        <v>8</v>
      </c>
      <c r="C1863" s="45">
        <f>C1862/ABS(C1860)</f>
        <v>-2.171076420497989E-4</v>
      </c>
    </row>
    <row r="1866" spans="1:4">
      <c r="A1866" t="s">
        <v>191</v>
      </c>
      <c r="B1866" s="59">
        <v>37534.57</v>
      </c>
      <c r="C1866" t="s">
        <v>1</v>
      </c>
      <c r="D1866" t="s">
        <v>192</v>
      </c>
    </row>
    <row r="1867" spans="1:4">
      <c r="A1867">
        <v>-74809.509999999995</v>
      </c>
      <c r="B1867">
        <f t="shared" ref="B1867:B1891" si="55">+B1866+A1867</f>
        <v>-37274.939999999995</v>
      </c>
    </row>
    <row r="1868" spans="1:4">
      <c r="A1868">
        <v>74890.45</v>
      </c>
      <c r="B1868">
        <f t="shared" si="55"/>
        <v>37615.51</v>
      </c>
      <c r="C1868">
        <v>80.94</v>
      </c>
    </row>
    <row r="1869" spans="1:4">
      <c r="A1869">
        <v>-74888.5</v>
      </c>
      <c r="B1869">
        <f t="shared" si="55"/>
        <v>-37272.99</v>
      </c>
    </row>
    <row r="1870" spans="1:4">
      <c r="A1870">
        <v>74883.8</v>
      </c>
      <c r="B1870">
        <f t="shared" si="55"/>
        <v>37610.810000000005</v>
      </c>
      <c r="C1870">
        <v>-4.7</v>
      </c>
    </row>
    <row r="1871" spans="1:4">
      <c r="A1871">
        <v>-74873.19</v>
      </c>
      <c r="B1871">
        <f t="shared" si="55"/>
        <v>-37262.379999999997</v>
      </c>
    </row>
    <row r="1872" spans="1:4">
      <c r="A1872">
        <v>74805.56</v>
      </c>
      <c r="B1872">
        <f t="shared" si="55"/>
        <v>37543.18</v>
      </c>
      <c r="C1872">
        <v>-67.63</v>
      </c>
    </row>
    <row r="1873" spans="1:3">
      <c r="A1873">
        <v>-74768</v>
      </c>
      <c r="B1873">
        <f t="shared" si="55"/>
        <v>-37224.82</v>
      </c>
    </row>
    <row r="1874" spans="1:3">
      <c r="A1874">
        <v>74760.45</v>
      </c>
      <c r="B1874">
        <f t="shared" si="55"/>
        <v>37535.629999999997</v>
      </c>
      <c r="C1874">
        <v>-7.55</v>
      </c>
    </row>
    <row r="1875" spans="1:3">
      <c r="A1875">
        <v>-74811.5</v>
      </c>
      <c r="B1875">
        <f t="shared" si="55"/>
        <v>-37275.870000000003</v>
      </c>
    </row>
    <row r="1876" spans="1:3">
      <c r="A1876">
        <v>74838.45</v>
      </c>
      <c r="B1876">
        <f t="shared" si="55"/>
        <v>37562.579999999994</v>
      </c>
      <c r="C1876">
        <v>26.95</v>
      </c>
    </row>
    <row r="1877" spans="1:3">
      <c r="A1877">
        <v>-74834.5</v>
      </c>
      <c r="B1877">
        <f t="shared" si="55"/>
        <v>-37271.920000000006</v>
      </c>
    </row>
    <row r="1878" spans="1:3">
      <c r="A1878">
        <v>74847.94</v>
      </c>
      <c r="B1878">
        <f t="shared" si="55"/>
        <v>37576.019999999997</v>
      </c>
      <c r="C1878">
        <v>13.44</v>
      </c>
    </row>
    <row r="1879" spans="1:3">
      <c r="A1879">
        <v>-74867.66</v>
      </c>
      <c r="B1879">
        <f t="shared" si="55"/>
        <v>-37291.640000000007</v>
      </c>
    </row>
    <row r="1880" spans="1:3">
      <c r="A1880">
        <v>74890.94</v>
      </c>
      <c r="B1880">
        <f t="shared" si="55"/>
        <v>37599.299999999996</v>
      </c>
      <c r="C1880">
        <v>23.28</v>
      </c>
    </row>
    <row r="1881" spans="1:3">
      <c r="A1881">
        <v>-74938</v>
      </c>
      <c r="B1881">
        <f t="shared" si="55"/>
        <v>-37338.700000000004</v>
      </c>
    </row>
    <row r="1882" spans="1:3">
      <c r="A1882">
        <v>-74919</v>
      </c>
      <c r="B1882">
        <f t="shared" si="55"/>
        <v>-112257.70000000001</v>
      </c>
    </row>
    <row r="1883" spans="1:3">
      <c r="A1883">
        <v>74931.44</v>
      </c>
      <c r="B1883">
        <f t="shared" si="55"/>
        <v>-37326.260000000009</v>
      </c>
      <c r="C1883">
        <v>12.44</v>
      </c>
    </row>
    <row r="1884" spans="1:3">
      <c r="A1884" s="60">
        <f>74977-1.56</f>
        <v>74975.44</v>
      </c>
      <c r="B1884">
        <f t="shared" si="55"/>
        <v>37649.179999999993</v>
      </c>
      <c r="C1884">
        <v>37.44</v>
      </c>
    </row>
    <row r="1885" spans="1:3">
      <c r="A1885">
        <v>-74957</v>
      </c>
      <c r="B1885">
        <f t="shared" si="55"/>
        <v>-37307.820000000007</v>
      </c>
    </row>
    <row r="1886" spans="1:3">
      <c r="A1886" s="60">
        <f>74974-1.56</f>
        <v>74972.44</v>
      </c>
      <c r="B1886">
        <f t="shared" si="55"/>
        <v>37664.619999999995</v>
      </c>
      <c r="C1886">
        <v>15.44</v>
      </c>
    </row>
    <row r="1887" spans="1:3">
      <c r="A1887">
        <v>-75073.820000000007</v>
      </c>
      <c r="B1887">
        <f t="shared" si="55"/>
        <v>-37409.200000000012</v>
      </c>
    </row>
    <row r="1888" spans="1:3">
      <c r="A1888">
        <v>75038.429999999993</v>
      </c>
      <c r="B1888">
        <f t="shared" si="55"/>
        <v>37629.229999999981</v>
      </c>
      <c r="C1888">
        <v>-35.39</v>
      </c>
    </row>
    <row r="1889" spans="1:3">
      <c r="A1889">
        <v>-75133.279999999999</v>
      </c>
      <c r="B1889">
        <f t="shared" si="55"/>
        <v>-37504.050000000017</v>
      </c>
    </row>
    <row r="1890" spans="1:3">
      <c r="A1890">
        <v>75134.259999999995</v>
      </c>
      <c r="B1890">
        <f t="shared" si="55"/>
        <v>37630.209999999977</v>
      </c>
      <c r="C1890">
        <v>0.98</v>
      </c>
    </row>
    <row r="1891" spans="1:3">
      <c r="A1891">
        <v>75156.929999999993</v>
      </c>
      <c r="B1891">
        <f t="shared" si="55"/>
        <v>112787.13999999997</v>
      </c>
    </row>
    <row r="1892" spans="1:3">
      <c r="B1892" t="s">
        <v>2</v>
      </c>
      <c r="C1892">
        <f>SUM(C1867:C1891)</f>
        <v>95.639999999999986</v>
      </c>
    </row>
    <row r="1893" spans="1:3">
      <c r="B1893" t="s">
        <v>3</v>
      </c>
      <c r="C1893">
        <f>+B1891-B1866-A1891</f>
        <v>95.639999999984866</v>
      </c>
    </row>
    <row r="1895" spans="1:3">
      <c r="A1895" t="s">
        <v>193</v>
      </c>
      <c r="B1895" t="s">
        <v>5</v>
      </c>
      <c r="C1895" s="60">
        <f>SUMIF(A1863:A1890,"&lt;0")</f>
        <v>-898873.96</v>
      </c>
    </row>
    <row r="1896" spans="1:3">
      <c r="A1896" t="str">
        <f>"SPY " &amp; COUNT(C1863:C1891) * 100 &amp; "股"</f>
        <v>SPY 1300股</v>
      </c>
      <c r="B1896" t="s">
        <v>6</v>
      </c>
      <c r="C1896" s="60">
        <f>SUMIF(A1863:A1890,"&gt;0")</f>
        <v>898969.59999999986</v>
      </c>
    </row>
    <row r="1897" spans="1:3">
      <c r="B1897" t="s">
        <v>7</v>
      </c>
      <c r="C1897" s="60">
        <f>+C1895+C1896</f>
        <v>95.639999999897555</v>
      </c>
    </row>
    <row r="1898" spans="1:3">
      <c r="B1898" t="s">
        <v>8</v>
      </c>
      <c r="C1898" s="45">
        <f>C1897/ABS(C1895)</f>
        <v>1.0639978935411318E-4</v>
      </c>
    </row>
    <row r="1900" spans="1:3">
      <c r="A1900" t="s">
        <v>79</v>
      </c>
    </row>
    <row r="1901" spans="1:3">
      <c r="A1901" t="s">
        <v>161</v>
      </c>
      <c r="B1901" t="s">
        <v>12</v>
      </c>
      <c r="C1901" s="58">
        <v>-75313</v>
      </c>
    </row>
    <row r="1902" spans="1:3">
      <c r="A1902" t="s">
        <v>194</v>
      </c>
      <c r="B1902" s="61">
        <v>1.9039999999999999</v>
      </c>
      <c r="C1902" s="58">
        <f>100*1.904*0.7</f>
        <v>133.27999999999997</v>
      </c>
    </row>
    <row r="1903" spans="1:3">
      <c r="A1903" s="41" t="s">
        <v>195</v>
      </c>
      <c r="B1903" t="s">
        <v>196</v>
      </c>
      <c r="C1903" s="49">
        <f>+A1891</f>
        <v>75156.929999999993</v>
      </c>
    </row>
    <row r="1904" spans="1:3">
      <c r="A1904" s="41"/>
      <c r="B1904" t="s">
        <v>33</v>
      </c>
      <c r="C1904" s="58">
        <f>+C1901+C1903+C1902</f>
        <v>-22.790000000007012</v>
      </c>
    </row>
    <row r="1905" spans="1:3">
      <c r="A1905" s="41"/>
      <c r="B1905" t="s">
        <v>34</v>
      </c>
      <c r="C1905" s="42">
        <f>C1904/ABS(C1901)</f>
        <v>-3.0260380014083909E-4</v>
      </c>
    </row>
    <row r="1906" spans="1:3">
      <c r="A1906" s="41"/>
      <c r="C1906" s="42"/>
    </row>
    <row r="1907" spans="1:3">
      <c r="A1907" s="41"/>
      <c r="C1907" s="42"/>
    </row>
    <row r="1908" spans="1:3">
      <c r="A1908" t="s">
        <v>197</v>
      </c>
      <c r="B1908">
        <v>112487.41</v>
      </c>
      <c r="C1908" t="s">
        <v>1</v>
      </c>
    </row>
    <row r="1909" spans="1:3">
      <c r="A1909">
        <v>-75193.5</v>
      </c>
      <c r="B1909">
        <f>+B1908+A1909</f>
        <v>37293.910000000003</v>
      </c>
    </row>
    <row r="1910" spans="1:3">
      <c r="A1910">
        <v>75290.58</v>
      </c>
      <c r="B1910">
        <f>+B1909+A1910</f>
        <v>112584.49</v>
      </c>
      <c r="C1910">
        <v>97.08</v>
      </c>
    </row>
    <row r="1911" spans="1:3">
      <c r="A1911">
        <v>-75284.52</v>
      </c>
      <c r="B1911">
        <f>+B1910+A1911</f>
        <v>37299.97</v>
      </c>
    </row>
    <row r="1912" spans="1:3">
      <c r="A1912">
        <v>75288.44</v>
      </c>
      <c r="B1912">
        <f>+B1911+A1912</f>
        <v>112588.41</v>
      </c>
      <c r="C1912">
        <v>3.92</v>
      </c>
    </row>
    <row r="1913" spans="1:3">
      <c r="B1913" t="s">
        <v>2</v>
      </c>
      <c r="C1913">
        <f>SUM(C1909:C1912)</f>
        <v>101</v>
      </c>
    </row>
    <row r="1914" spans="1:3">
      <c r="B1914" t="s">
        <v>3</v>
      </c>
      <c r="C1914">
        <f>+B1912-B1908</f>
        <v>101</v>
      </c>
    </row>
    <row r="1916" spans="1:3">
      <c r="A1916" t="s">
        <v>198</v>
      </c>
      <c r="B1916" t="s">
        <v>5</v>
      </c>
      <c r="C1916" s="58">
        <f>SUMIF(A1909:A1912,"&lt;0")</f>
        <v>-150478.02000000002</v>
      </c>
    </row>
    <row r="1917" spans="1:3">
      <c r="A1917" t="str">
        <f>"SPY " &amp; COUNT(C1909:C1912) * 100 &amp; "股"</f>
        <v>SPY 200股</v>
      </c>
      <c r="B1917" t="s">
        <v>6</v>
      </c>
      <c r="C1917" s="58">
        <f>SUMIF(A1909:A1912,"&gt;0")</f>
        <v>150579.02000000002</v>
      </c>
    </row>
    <row r="1918" spans="1:3">
      <c r="B1918" t="s">
        <v>7</v>
      </c>
      <c r="C1918" s="58">
        <f>+C1916+C1917</f>
        <v>101</v>
      </c>
    </row>
    <row r="1919" spans="1:3">
      <c r="B1919" t="s">
        <v>8</v>
      </c>
      <c r="C1919" s="45">
        <f>C1918/ABS(C1916)</f>
        <v>6.7119437111147517E-4</v>
      </c>
    </row>
    <row r="1920" spans="1:3">
      <c r="A1920" s="40"/>
      <c r="B1920" s="40"/>
      <c r="C1920" s="40"/>
    </row>
    <row r="1921" spans="1:4">
      <c r="A1921" s="40"/>
      <c r="B1921" s="40"/>
      <c r="C1921" s="40"/>
    </row>
    <row r="1922" spans="1:4">
      <c r="A1922" s="40" t="s">
        <v>199</v>
      </c>
      <c r="B1922" s="40">
        <v>112642.12</v>
      </c>
      <c r="C1922" s="40" t="s">
        <v>1</v>
      </c>
      <c r="D1922" s="40"/>
    </row>
    <row r="1923" spans="1:4">
      <c r="A1923" s="40">
        <v>75305.429999999993</v>
      </c>
      <c r="B1923" s="40">
        <f t="shared" ref="B1923:B1940" si="56">+B1922+A1923</f>
        <v>187947.55</v>
      </c>
      <c r="C1923" s="40"/>
      <c r="D1923" s="40"/>
    </row>
    <row r="1924" spans="1:4">
      <c r="A1924" s="40">
        <v>-75072.73</v>
      </c>
      <c r="B1924" s="40">
        <f t="shared" si="56"/>
        <v>112874.81999999999</v>
      </c>
      <c r="C1924" s="40">
        <v>232.7</v>
      </c>
      <c r="D1924" s="40"/>
    </row>
    <row r="1925" spans="1:4">
      <c r="A1925" s="40">
        <v>75275.429999999993</v>
      </c>
      <c r="B1925" s="40">
        <f t="shared" si="56"/>
        <v>188150.25</v>
      </c>
      <c r="C1925" s="40"/>
      <c r="D1925" s="40"/>
    </row>
    <row r="1926" spans="1:4">
      <c r="A1926" s="40">
        <v>-75304.98</v>
      </c>
      <c r="B1926" s="40">
        <f t="shared" si="56"/>
        <v>112845.27</v>
      </c>
      <c r="C1926" s="40">
        <v>-29.55</v>
      </c>
      <c r="D1926" s="40"/>
    </row>
    <row r="1927" spans="1:4">
      <c r="A1927" s="40">
        <v>-75193</v>
      </c>
      <c r="B1927" s="40">
        <f t="shared" si="56"/>
        <v>37652.270000000004</v>
      </c>
      <c r="C1927" s="40"/>
      <c r="D1927" s="40"/>
    </row>
    <row r="1928" spans="1:4">
      <c r="A1928" s="40">
        <v>75152.929999999993</v>
      </c>
      <c r="B1928" s="40">
        <f t="shared" si="56"/>
        <v>112805.2</v>
      </c>
      <c r="C1928" s="40">
        <v>-40.07</v>
      </c>
      <c r="D1928" s="40"/>
    </row>
    <row r="1929" spans="1:4">
      <c r="A1929" s="40">
        <v>-75189</v>
      </c>
      <c r="B1929" s="40">
        <f t="shared" si="56"/>
        <v>37616.199999999997</v>
      </c>
      <c r="C1929" s="40"/>
      <c r="D1929" s="40"/>
    </row>
    <row r="1930" spans="1:4">
      <c r="A1930" s="40">
        <v>75210.89</v>
      </c>
      <c r="B1930" s="40">
        <f t="shared" si="56"/>
        <v>112827.09</v>
      </c>
      <c r="C1930" s="40">
        <v>21.89</v>
      </c>
      <c r="D1930" s="40"/>
    </row>
    <row r="1931" spans="1:4">
      <c r="A1931" s="40">
        <v>-75212</v>
      </c>
      <c r="B1931" s="40">
        <f t="shared" si="56"/>
        <v>37615.089999999997</v>
      </c>
      <c r="C1931" s="40"/>
      <c r="D1931" s="40"/>
    </row>
    <row r="1932" spans="1:4">
      <c r="A1932" s="40">
        <v>75213.08</v>
      </c>
      <c r="B1932" s="40">
        <f t="shared" si="56"/>
        <v>112828.17</v>
      </c>
      <c r="C1932" s="40">
        <v>1.08</v>
      </c>
      <c r="D1932" s="40"/>
    </row>
    <row r="1933" spans="1:4">
      <c r="A1933" s="40">
        <v>-75149</v>
      </c>
      <c r="B1933" s="40">
        <f t="shared" si="56"/>
        <v>37679.17</v>
      </c>
      <c r="C1933" s="40"/>
      <c r="D1933" s="40"/>
    </row>
    <row r="1934" spans="1:4">
      <c r="A1934" s="40">
        <v>75020.56</v>
      </c>
      <c r="B1934" s="40">
        <f t="shared" si="56"/>
        <v>112699.73</v>
      </c>
      <c r="C1934" s="40">
        <v>-128.44</v>
      </c>
      <c r="D1934" s="40"/>
    </row>
    <row r="1935" spans="1:4">
      <c r="A1935" s="40">
        <v>-75045.59</v>
      </c>
      <c r="B1935" s="40">
        <f t="shared" si="56"/>
        <v>37654.14</v>
      </c>
      <c r="C1935" s="40"/>
      <c r="D1935" s="40"/>
    </row>
    <row r="1936" spans="1:4">
      <c r="A1936" s="40">
        <v>75006.929999999993</v>
      </c>
      <c r="B1936" s="40">
        <f t="shared" si="56"/>
        <v>112661.06999999999</v>
      </c>
      <c r="C1936" s="40">
        <v>-38.659999999999997</v>
      </c>
      <c r="D1936" s="40"/>
    </row>
    <row r="1937" spans="1:4">
      <c r="A1937" s="40">
        <v>-75017</v>
      </c>
      <c r="B1937" s="40">
        <f t="shared" si="56"/>
        <v>37644.069999999992</v>
      </c>
      <c r="C1937" s="40"/>
      <c r="D1937" s="40"/>
    </row>
    <row r="1938" spans="1:4">
      <c r="A1938" s="40">
        <v>74999.429999999993</v>
      </c>
      <c r="B1938" s="40">
        <f t="shared" si="56"/>
        <v>112643.49999999999</v>
      </c>
      <c r="C1938" s="40">
        <v>-17.57</v>
      </c>
      <c r="D1938" s="40"/>
    </row>
    <row r="1939" spans="1:4">
      <c r="A1939" s="40">
        <v>74991.509999999995</v>
      </c>
      <c r="B1939" s="40">
        <f t="shared" si="56"/>
        <v>187635.00999999998</v>
      </c>
      <c r="C1939" s="40"/>
      <c r="D1939" s="40"/>
    </row>
    <row r="1940" spans="1:4">
      <c r="A1940" s="40">
        <v>-74969.990000000005</v>
      </c>
      <c r="B1940" s="40">
        <f t="shared" si="56"/>
        <v>112665.01999999997</v>
      </c>
      <c r="C1940" s="40">
        <v>21.52</v>
      </c>
      <c r="D1940" s="40"/>
    </row>
    <row r="1941" spans="1:4">
      <c r="A1941" s="40"/>
      <c r="B1941" s="40" t="s">
        <v>2</v>
      </c>
      <c r="C1941" s="40">
        <f>SUM(C1923:C1940)</f>
        <v>22.899999999999988</v>
      </c>
      <c r="D1941" s="40"/>
    </row>
    <row r="1942" spans="1:4">
      <c r="A1942" s="40"/>
      <c r="B1942" s="40" t="s">
        <v>3</v>
      </c>
      <c r="C1942" s="40">
        <f>+B1940-B1922</f>
        <v>22.899999999979627</v>
      </c>
      <c r="D1942" s="40"/>
    </row>
    <row r="1943" spans="1:4">
      <c r="A1943" s="40"/>
      <c r="B1943" s="40"/>
      <c r="C1943" s="40"/>
      <c r="D1943" s="40"/>
    </row>
    <row r="1944" spans="1:4">
      <c r="A1944" s="40" t="s">
        <v>200</v>
      </c>
      <c r="B1944" s="40" t="s">
        <v>5</v>
      </c>
      <c r="C1944" s="62">
        <f>SUMIF(A1923:A1940,"&lt;0")</f>
        <v>-676153.28999999992</v>
      </c>
      <c r="D1944" s="40"/>
    </row>
    <row r="1945" spans="1:4">
      <c r="A1945" s="40" t="str">
        <f>"SPY " &amp; COUNT(C1923:C1940) * 100 &amp; "股"</f>
        <v>SPY 900股</v>
      </c>
      <c r="B1945" s="40" t="s">
        <v>6</v>
      </c>
      <c r="C1945" s="62">
        <f>SUMIF(A1923:A1940,"&gt;0")</f>
        <v>676176.19</v>
      </c>
      <c r="D1945" s="40"/>
    </row>
    <row r="1946" spans="1:4">
      <c r="A1946" s="40"/>
      <c r="B1946" s="40" t="s">
        <v>7</v>
      </c>
      <c r="C1946" s="62">
        <f>+C1944+C1945</f>
        <v>22.900000000023283</v>
      </c>
      <c r="D1946" s="40"/>
    </row>
    <row r="1947" spans="1:4">
      <c r="A1947" s="40"/>
      <c r="B1947" s="40" t="s">
        <v>8</v>
      </c>
      <c r="C1947" s="39">
        <f>C1946/ABS(C1944)</f>
        <v>3.3868059711760461E-5</v>
      </c>
      <c r="D1947" s="40"/>
    </row>
    <row r="1950" spans="1:4">
      <c r="A1950" t="s">
        <v>201</v>
      </c>
      <c r="B1950">
        <v>112743.12</v>
      </c>
      <c r="C1950" t="s">
        <v>1</v>
      </c>
    </row>
    <row r="1951" spans="1:4">
      <c r="A1951">
        <v>75130.429999999993</v>
      </c>
      <c r="B1951">
        <f t="shared" ref="B1951:B1960" si="57">+B1950+A1951</f>
        <v>187873.55</v>
      </c>
    </row>
    <row r="1952" spans="1:4">
      <c r="A1952">
        <v>-75072.28</v>
      </c>
      <c r="B1952">
        <f t="shared" si="57"/>
        <v>112801.26999999999</v>
      </c>
      <c r="C1952">
        <v>58.15</v>
      </c>
    </row>
    <row r="1953" spans="1:3">
      <c r="A1953">
        <v>75014.94</v>
      </c>
      <c r="B1953">
        <f t="shared" si="57"/>
        <v>187816.21</v>
      </c>
    </row>
    <row r="1954" spans="1:3">
      <c r="A1954">
        <v>-74996.990000000005</v>
      </c>
      <c r="B1954">
        <f t="shared" si="57"/>
        <v>112819.21999999999</v>
      </c>
      <c r="C1954">
        <v>17.95</v>
      </c>
    </row>
    <row r="1955" spans="1:3">
      <c r="A1955">
        <v>75198.490000000005</v>
      </c>
      <c r="B1955">
        <f t="shared" si="57"/>
        <v>188017.71</v>
      </c>
    </row>
    <row r="1956" spans="1:3">
      <c r="A1956">
        <v>-75087.91</v>
      </c>
      <c r="B1956">
        <f t="shared" si="57"/>
        <v>112929.79999999999</v>
      </c>
      <c r="C1956">
        <v>110.58</v>
      </c>
    </row>
    <row r="1957" spans="1:3">
      <c r="A1957">
        <v>75140.429999999993</v>
      </c>
      <c r="B1957">
        <f t="shared" si="57"/>
        <v>188070.22999999998</v>
      </c>
    </row>
    <row r="1958" spans="1:3">
      <c r="A1958">
        <v>-75160</v>
      </c>
      <c r="B1958">
        <f t="shared" si="57"/>
        <v>112910.22999999998</v>
      </c>
      <c r="C1958">
        <v>-19.57</v>
      </c>
    </row>
    <row r="1959" spans="1:3">
      <c r="A1959">
        <v>-75152.899999999994</v>
      </c>
      <c r="B1959">
        <f t="shared" si="57"/>
        <v>37757.329999999987</v>
      </c>
    </row>
    <row r="1960" spans="1:3">
      <c r="A1960">
        <v>75159.429999999993</v>
      </c>
      <c r="B1960">
        <f t="shared" si="57"/>
        <v>112916.75999999998</v>
      </c>
      <c r="C1960">
        <v>6.53</v>
      </c>
    </row>
    <row r="1961" spans="1:3">
      <c r="B1961" t="s">
        <v>2</v>
      </c>
      <c r="C1961">
        <f>SUM(C1951:C1960)</f>
        <v>173.64000000000001</v>
      </c>
    </row>
    <row r="1962" spans="1:3">
      <c r="B1962" t="s">
        <v>3</v>
      </c>
      <c r="C1962">
        <f>+B1960-B1950</f>
        <v>173.63999999998487</v>
      </c>
    </row>
    <row r="1964" spans="1:3">
      <c r="A1964" t="s">
        <v>202</v>
      </c>
      <c r="B1964" t="s">
        <v>5</v>
      </c>
      <c r="C1964" s="58">
        <f>SUMIF(A1951:A1960,"&lt;0")</f>
        <v>-375470.08000000007</v>
      </c>
    </row>
    <row r="1965" spans="1:3">
      <c r="A1965" t="str">
        <f>"SPY " &amp; COUNT(C1951:C1960) * 100 &amp; "股"</f>
        <v>SPY 500股</v>
      </c>
      <c r="B1965" t="s">
        <v>6</v>
      </c>
      <c r="C1965" s="58">
        <f>SUMIF(A1951:A1960,"&gt;0")</f>
        <v>375643.72</v>
      </c>
    </row>
    <row r="1966" spans="1:3">
      <c r="B1966" t="s">
        <v>7</v>
      </c>
      <c r="C1966" s="58">
        <f>+C1964+C1965</f>
        <v>173.63999999989755</v>
      </c>
    </row>
    <row r="1967" spans="1:3">
      <c r="B1967" t="s">
        <v>8</v>
      </c>
      <c r="C1967" s="45">
        <f>C1966/ABS(C1964)</f>
        <v>4.6246028445168658E-4</v>
      </c>
    </row>
    <row r="1970" spans="1:3">
      <c r="A1970" t="s">
        <v>203</v>
      </c>
      <c r="B1970">
        <v>112916.76</v>
      </c>
      <c r="C1970" t="s">
        <v>1</v>
      </c>
    </row>
    <row r="1971" spans="1:3">
      <c r="A1971">
        <v>-75483.48</v>
      </c>
      <c r="B1971">
        <f t="shared" ref="B1971:B1984" si="58">+B1970+A1971</f>
        <v>37433.279999999999</v>
      </c>
    </row>
    <row r="1972" spans="1:3">
      <c r="A1972">
        <v>-75374</v>
      </c>
      <c r="B1972">
        <f t="shared" si="58"/>
        <v>-37940.720000000001</v>
      </c>
    </row>
    <row r="1973" spans="1:3">
      <c r="A1973">
        <v>75340.94</v>
      </c>
      <c r="B1973">
        <f t="shared" si="58"/>
        <v>37400.22</v>
      </c>
      <c r="C1973">
        <v>-33.06</v>
      </c>
    </row>
    <row r="1974" spans="1:3">
      <c r="A1974">
        <v>-75371.77</v>
      </c>
      <c r="B1974">
        <f t="shared" si="58"/>
        <v>-37971.550000000003</v>
      </c>
    </row>
    <row r="1975" spans="1:3">
      <c r="A1975">
        <v>75496.42</v>
      </c>
      <c r="B1975">
        <f t="shared" si="58"/>
        <v>37524.869999999995</v>
      </c>
      <c r="C1975">
        <v>124.65</v>
      </c>
    </row>
    <row r="1976" spans="1:3">
      <c r="A1976">
        <v>75536.429999999993</v>
      </c>
      <c r="B1976">
        <f t="shared" si="58"/>
        <v>113061.29999999999</v>
      </c>
      <c r="C1976">
        <v>52.95</v>
      </c>
    </row>
    <row r="1977" spans="1:3">
      <c r="A1977">
        <v>-75317</v>
      </c>
      <c r="B1977">
        <f t="shared" si="58"/>
        <v>37744.299999999988</v>
      </c>
    </row>
    <row r="1978" spans="1:3">
      <c r="A1978">
        <v>75333.929999999993</v>
      </c>
      <c r="B1978">
        <f t="shared" si="58"/>
        <v>113078.22999999998</v>
      </c>
      <c r="C1978">
        <v>16.93</v>
      </c>
    </row>
    <row r="1979" spans="1:3">
      <c r="A1979">
        <v>-75344.67</v>
      </c>
      <c r="B1979">
        <f t="shared" si="58"/>
        <v>37733.559999999983</v>
      </c>
    </row>
    <row r="1980" spans="1:3">
      <c r="A1980">
        <v>75337.440000000002</v>
      </c>
      <c r="B1980">
        <f t="shared" si="58"/>
        <v>113070.99999999999</v>
      </c>
      <c r="C1980">
        <v>-7.23</v>
      </c>
    </row>
    <row r="1981" spans="1:3">
      <c r="A1981">
        <v>-75298</v>
      </c>
      <c r="B1981">
        <f t="shared" si="58"/>
        <v>37772.999999999985</v>
      </c>
    </row>
    <row r="1982" spans="1:3">
      <c r="A1982">
        <v>75329.429999999993</v>
      </c>
      <c r="B1982">
        <f t="shared" si="58"/>
        <v>113102.42999999998</v>
      </c>
      <c r="C1982">
        <v>31.43</v>
      </c>
    </row>
    <row r="1983" spans="1:3">
      <c r="A1983">
        <v>-75340.899999999994</v>
      </c>
      <c r="B1983">
        <f t="shared" si="58"/>
        <v>37761.529999999984</v>
      </c>
    </row>
    <row r="1984" spans="1:3">
      <c r="A1984">
        <v>75323.070000000007</v>
      </c>
      <c r="B1984">
        <f t="shared" si="58"/>
        <v>113084.59999999999</v>
      </c>
      <c r="C1984">
        <v>-17.829999999999998</v>
      </c>
    </row>
    <row r="1985" spans="1:3">
      <c r="B1985" t="s">
        <v>2</v>
      </c>
      <c r="C1985">
        <f>SUM(C1971:C1984)</f>
        <v>167.84000000000003</v>
      </c>
    </row>
    <row r="1986" spans="1:3">
      <c r="B1986" t="s">
        <v>3</v>
      </c>
      <c r="C1986">
        <f>+B1984-B1970</f>
        <v>167.83999999999651</v>
      </c>
    </row>
    <row r="1988" spans="1:3">
      <c r="A1988" t="s">
        <v>204</v>
      </c>
      <c r="B1988" t="s">
        <v>5</v>
      </c>
      <c r="C1988" s="58">
        <f>SUMIF(A1971:A1984,"&lt;0")</f>
        <v>-527529.81999999995</v>
      </c>
    </row>
    <row r="1989" spans="1:3">
      <c r="A1989" t="str">
        <f>"SPY " &amp; COUNT(C1971:C1984) * 100 &amp; "股"</f>
        <v>SPY 700股</v>
      </c>
      <c r="B1989" t="s">
        <v>6</v>
      </c>
      <c r="C1989" s="58">
        <f>SUMIF(A1971:A1984,"&gt;0")</f>
        <v>527697.65999999992</v>
      </c>
    </row>
    <row r="1990" spans="1:3">
      <c r="B1990" t="s">
        <v>7</v>
      </c>
      <c r="C1990" s="58">
        <f>+C1988+C1989</f>
        <v>167.8399999999674</v>
      </c>
    </row>
    <row r="1991" spans="1:3">
      <c r="B1991" t="s">
        <v>8</v>
      </c>
      <c r="C1991" s="45">
        <f>C1990/ABS(C1988)</f>
        <v>3.1816210882631702E-4</v>
      </c>
    </row>
    <row r="1994" spans="1:3">
      <c r="A1994" t="s">
        <v>205</v>
      </c>
      <c r="B1994">
        <v>112939.66</v>
      </c>
      <c r="C1994" t="s">
        <v>1</v>
      </c>
    </row>
    <row r="1995" spans="1:3">
      <c r="A1995">
        <v>-75149.5</v>
      </c>
      <c r="B1995">
        <f t="shared" ref="B1995:B2031" si="59">+B1994+A1995</f>
        <v>37790.160000000003</v>
      </c>
    </row>
    <row r="1996" spans="1:3">
      <c r="A1996">
        <v>75084.44</v>
      </c>
      <c r="B1996">
        <f t="shared" si="59"/>
        <v>112874.6</v>
      </c>
      <c r="C1996" s="58">
        <v>-65.06</v>
      </c>
    </row>
    <row r="1997" spans="1:3">
      <c r="A1997">
        <v>-75186.5</v>
      </c>
      <c r="B1997">
        <f t="shared" si="59"/>
        <v>37688.100000000006</v>
      </c>
    </row>
    <row r="1998" spans="1:3">
      <c r="A1998">
        <v>75169.429999999993</v>
      </c>
      <c r="B1998">
        <f t="shared" si="59"/>
        <v>112857.53</v>
      </c>
      <c r="C1998" s="58">
        <v>-17.07</v>
      </c>
    </row>
    <row r="1999" spans="1:3">
      <c r="A1999">
        <v>75167.429999999993</v>
      </c>
      <c r="B1999">
        <f t="shared" si="59"/>
        <v>188024.95999999999</v>
      </c>
    </row>
    <row r="2000" spans="1:3">
      <c r="A2000">
        <v>-75230</v>
      </c>
      <c r="B2000">
        <f t="shared" si="59"/>
        <v>112794.95999999999</v>
      </c>
      <c r="C2000" s="58">
        <v>-62.57</v>
      </c>
    </row>
    <row r="2001" spans="1:3">
      <c r="A2001">
        <v>75264.929999999993</v>
      </c>
      <c r="B2001">
        <f t="shared" si="59"/>
        <v>188059.88999999998</v>
      </c>
    </row>
    <row r="2002" spans="1:3">
      <c r="A2002">
        <v>-75285</v>
      </c>
      <c r="B2002">
        <f t="shared" si="59"/>
        <v>112774.88999999998</v>
      </c>
      <c r="C2002" s="58">
        <v>-20.07</v>
      </c>
    </row>
    <row r="2003" spans="1:3">
      <c r="A2003">
        <v>-75359.5</v>
      </c>
      <c r="B2003">
        <f t="shared" si="59"/>
        <v>37415.389999999985</v>
      </c>
    </row>
    <row r="2004" spans="1:3">
      <c r="A2004">
        <v>75350.94</v>
      </c>
      <c r="B2004">
        <f t="shared" si="59"/>
        <v>112766.32999999999</v>
      </c>
      <c r="C2004" s="58">
        <v>-8.56</v>
      </c>
    </row>
    <row r="2005" spans="1:3">
      <c r="A2005">
        <v>70997.100000000006</v>
      </c>
      <c r="B2005">
        <f t="shared" si="59"/>
        <v>183763.43</v>
      </c>
    </row>
    <row r="2006" spans="1:3">
      <c r="A2006">
        <v>-70977.64</v>
      </c>
      <c r="B2006">
        <f t="shared" si="59"/>
        <v>112785.79</v>
      </c>
      <c r="C2006" s="58">
        <v>19.46</v>
      </c>
    </row>
    <row r="2007" spans="1:3">
      <c r="A2007">
        <v>-75375.98</v>
      </c>
      <c r="B2007">
        <f t="shared" si="59"/>
        <v>37409.81</v>
      </c>
    </row>
    <row r="2008" spans="1:3">
      <c r="A2008">
        <v>75407.45</v>
      </c>
      <c r="B2008">
        <f t="shared" si="59"/>
        <v>112817.26</v>
      </c>
      <c r="C2008" s="58">
        <v>31.47</v>
      </c>
    </row>
    <row r="2009" spans="1:3">
      <c r="A2009">
        <v>-75344</v>
      </c>
      <c r="B2009">
        <f t="shared" si="59"/>
        <v>37473.259999999995</v>
      </c>
    </row>
    <row r="2010" spans="1:3">
      <c r="A2010">
        <v>75374.429999999993</v>
      </c>
      <c r="B2010">
        <f t="shared" si="59"/>
        <v>112847.68999999999</v>
      </c>
      <c r="C2010" s="58">
        <v>30.43</v>
      </c>
    </row>
    <row r="2011" spans="1:3">
      <c r="A2011">
        <v>-75340.5</v>
      </c>
      <c r="B2011">
        <f t="shared" si="59"/>
        <v>37507.189999999988</v>
      </c>
    </row>
    <row r="2012" spans="1:3">
      <c r="A2012">
        <v>-75323.929999999993</v>
      </c>
      <c r="B2012">
        <f t="shared" si="59"/>
        <v>-37816.740000000005</v>
      </c>
    </row>
    <row r="2013" spans="1:3">
      <c r="A2013">
        <v>75363.44</v>
      </c>
      <c r="B2013">
        <f t="shared" si="59"/>
        <v>37546.699999999997</v>
      </c>
      <c r="C2013" s="58">
        <v>39.51</v>
      </c>
    </row>
    <row r="2014" spans="1:3">
      <c r="A2014">
        <v>75368.429999999993</v>
      </c>
      <c r="B2014">
        <f t="shared" si="59"/>
        <v>112915.12999999999</v>
      </c>
      <c r="C2014" s="58">
        <v>27.93</v>
      </c>
    </row>
    <row r="2015" spans="1:3">
      <c r="A2015">
        <v>-75330</v>
      </c>
      <c r="B2015">
        <f t="shared" si="59"/>
        <v>37585.12999999999</v>
      </c>
    </row>
    <row r="2016" spans="1:3">
      <c r="A2016">
        <v>75324.490000000005</v>
      </c>
      <c r="B2016">
        <f t="shared" si="59"/>
        <v>112909.62</v>
      </c>
      <c r="C2016" s="58">
        <v>-5.51</v>
      </c>
    </row>
    <row r="2017" spans="1:3">
      <c r="A2017">
        <v>-75342.13</v>
      </c>
      <c r="B2017">
        <f t="shared" si="59"/>
        <v>37567.489999999991</v>
      </c>
    </row>
    <row r="2018" spans="1:3">
      <c r="A2018">
        <v>75364.429999999993</v>
      </c>
      <c r="B2018">
        <f t="shared" si="59"/>
        <v>112931.91999999998</v>
      </c>
      <c r="C2018" s="58">
        <v>22.3</v>
      </c>
    </row>
    <row r="2019" spans="1:3">
      <c r="A2019">
        <v>-75357.570000000007</v>
      </c>
      <c r="B2019">
        <f t="shared" si="59"/>
        <v>37574.349999999977</v>
      </c>
    </row>
    <row r="2020" spans="1:3">
      <c r="A2020">
        <v>75354.39</v>
      </c>
      <c r="B2020">
        <f t="shared" si="59"/>
        <v>112928.73999999998</v>
      </c>
      <c r="C2020" s="58">
        <v>-3.18</v>
      </c>
    </row>
    <row r="2021" spans="1:3">
      <c r="A2021">
        <v>-75360.2</v>
      </c>
      <c r="B2021">
        <f t="shared" si="59"/>
        <v>37568.539999999979</v>
      </c>
    </row>
    <row r="2022" spans="1:3">
      <c r="A2022">
        <v>-75170.5</v>
      </c>
      <c r="B2022">
        <f t="shared" si="59"/>
        <v>-37601.960000000021</v>
      </c>
    </row>
    <row r="2023" spans="1:3">
      <c r="A2023">
        <v>-75150.69</v>
      </c>
      <c r="B2023">
        <f t="shared" si="59"/>
        <v>-112752.65000000002</v>
      </c>
    </row>
    <row r="2024" spans="1:3">
      <c r="A2024">
        <v>75248.429999999993</v>
      </c>
      <c r="B2024">
        <f t="shared" si="59"/>
        <v>-37504.22000000003</v>
      </c>
      <c r="C2024" s="58">
        <v>97.74</v>
      </c>
    </row>
    <row r="2025" spans="1:3">
      <c r="A2025">
        <v>75231.44</v>
      </c>
      <c r="B2025">
        <f t="shared" si="59"/>
        <v>37727.219999999972</v>
      </c>
      <c r="C2025" s="58">
        <v>60.94</v>
      </c>
    </row>
    <row r="2026" spans="1:3">
      <c r="A2026">
        <v>-74906</v>
      </c>
      <c r="B2026">
        <f t="shared" si="59"/>
        <v>-37178.780000000028</v>
      </c>
    </row>
    <row r="2027" spans="1:3">
      <c r="A2027">
        <v>74869.289999999994</v>
      </c>
      <c r="B2027">
        <f t="shared" si="59"/>
        <v>37690.509999999966</v>
      </c>
      <c r="C2027" s="58">
        <v>-36.71</v>
      </c>
    </row>
    <row r="2028" spans="1:3">
      <c r="A2028">
        <v>-74876.990000000005</v>
      </c>
      <c r="B2028">
        <f t="shared" si="59"/>
        <v>-37186.48000000004</v>
      </c>
    </row>
    <row r="2029" spans="1:3">
      <c r="A2029">
        <v>74846.47</v>
      </c>
      <c r="B2029">
        <f t="shared" si="59"/>
        <v>37659.989999999962</v>
      </c>
      <c r="C2029" s="58">
        <v>-30.52</v>
      </c>
    </row>
    <row r="2030" spans="1:3">
      <c r="A2030">
        <v>-74867.929999999993</v>
      </c>
      <c r="B2030">
        <f t="shared" si="59"/>
        <v>-37207.940000000031</v>
      </c>
      <c r="C2030" s="58"/>
    </row>
    <row r="2031" spans="1:3">
      <c r="A2031">
        <v>74891.399999999994</v>
      </c>
      <c r="B2031">
        <f t="shared" si="59"/>
        <v>37683.459999999963</v>
      </c>
      <c r="C2031" s="58">
        <v>23.47</v>
      </c>
    </row>
    <row r="2032" spans="1:3">
      <c r="B2032" t="s">
        <v>2</v>
      </c>
      <c r="C2032" s="45">
        <f>SUM(C1995:C2031)</f>
        <v>104.00000000000001</v>
      </c>
    </row>
    <row r="2033" spans="1:3">
      <c r="B2033" t="s">
        <v>3</v>
      </c>
      <c r="C2033">
        <f>+B2031-B1994-A2021</f>
        <v>103.99999999995634</v>
      </c>
    </row>
    <row r="2034" spans="1:3">
      <c r="C2034" s="58"/>
    </row>
    <row r="2035" spans="1:3">
      <c r="A2035" t="s">
        <v>206</v>
      </c>
      <c r="B2035" t="s">
        <v>5</v>
      </c>
      <c r="C2035" s="58">
        <f>SUMIF(A1995:A2031,"&lt;0")-A2021-A2006</f>
        <v>-1278596.72</v>
      </c>
    </row>
    <row r="2036" spans="1:3">
      <c r="A2036" t="str">
        <f>"SPY " &amp; (COUNT(C1995:C2031)-1) * 100 &amp; "股"</f>
        <v>SPY 1700股</v>
      </c>
      <c r="B2036" t="s">
        <v>6</v>
      </c>
      <c r="C2036" s="58">
        <f>SUMIF(A1995:A2031,"&gt;0")-A2005</f>
        <v>1278681.2599999998</v>
      </c>
    </row>
    <row r="2037" spans="1:3">
      <c r="B2037" t="s">
        <v>7</v>
      </c>
      <c r="C2037" s="58">
        <f>+C2035+C2036</f>
        <v>84.539999999804422</v>
      </c>
    </row>
    <row r="2038" spans="1:3">
      <c r="B2038" t="s">
        <v>8</v>
      </c>
      <c r="C2038" s="45">
        <f>C2037/ABS(C2035)</f>
        <v>6.6119362483429823E-5</v>
      </c>
    </row>
    <row r="2040" spans="1:3">
      <c r="A2040" t="s">
        <v>207</v>
      </c>
      <c r="B2040" t="s">
        <v>5</v>
      </c>
      <c r="C2040" s="58">
        <f>SUMIF(A2005:A2006,"&lt;0")</f>
        <v>-70977.64</v>
      </c>
    </row>
    <row r="2041" spans="1:3">
      <c r="A2041" t="str">
        <f>"QQQ "&amp;COUNT(C2005:C2006)*100&amp;"股"</f>
        <v>QQQ 100股</v>
      </c>
      <c r="B2041" t="s">
        <v>6</v>
      </c>
      <c r="C2041" s="58">
        <f>SUMIF(A2005:A2006,"&gt;0")</f>
        <v>70997.100000000006</v>
      </c>
    </row>
    <row r="2042" spans="1:3">
      <c r="B2042" t="s">
        <v>7</v>
      </c>
      <c r="C2042" s="58">
        <f>+C2040+C2041</f>
        <v>19.460000000006403</v>
      </c>
    </row>
    <row r="2043" spans="1:3">
      <c r="B2043" t="s">
        <v>8</v>
      </c>
      <c r="C2043" s="45">
        <f>C2042/ABS(C2040)</f>
        <v>2.7417085155277639E-4</v>
      </c>
    </row>
    <row r="2045" spans="1:3">
      <c r="A2045" t="s">
        <v>79</v>
      </c>
    </row>
    <row r="2046" spans="1:3">
      <c r="A2046" t="s">
        <v>208</v>
      </c>
      <c r="B2046" t="s">
        <v>12</v>
      </c>
      <c r="C2046" s="58">
        <v>-75360.2</v>
      </c>
    </row>
    <row r="2049" spans="1:3">
      <c r="A2049" t="s">
        <v>209</v>
      </c>
      <c r="B2049">
        <v>37677.660000000003</v>
      </c>
      <c r="C2049" t="s">
        <v>1</v>
      </c>
    </row>
    <row r="2050" spans="1:3">
      <c r="A2050">
        <v>-74404</v>
      </c>
      <c r="B2050">
        <f t="shared" ref="B2050:B2083" si="60">+B2049+A2050</f>
        <v>-36726.339999999997</v>
      </c>
    </row>
    <row r="2051" spans="1:3">
      <c r="A2051">
        <v>74397.45</v>
      </c>
      <c r="B2051">
        <f t="shared" si="60"/>
        <v>37671.11</v>
      </c>
      <c r="C2051" s="58">
        <v>-6.55</v>
      </c>
    </row>
    <row r="2052" spans="1:3">
      <c r="A2052">
        <v>-74480.5</v>
      </c>
      <c r="B2052">
        <f t="shared" si="60"/>
        <v>-36809.39</v>
      </c>
    </row>
    <row r="2053" spans="1:3">
      <c r="A2053">
        <v>74547.94</v>
      </c>
      <c r="B2053">
        <f t="shared" si="60"/>
        <v>37738.550000000003</v>
      </c>
      <c r="C2053" s="58">
        <v>67.44</v>
      </c>
    </row>
    <row r="2054" spans="1:3">
      <c r="A2054">
        <v>-74595</v>
      </c>
      <c r="B2054">
        <f t="shared" si="60"/>
        <v>-36856.449999999997</v>
      </c>
    </row>
    <row r="2055" spans="1:3">
      <c r="A2055">
        <v>74599.94</v>
      </c>
      <c r="B2055">
        <f t="shared" si="60"/>
        <v>37743.490000000005</v>
      </c>
      <c r="C2055" s="58">
        <v>4.9400000000000004</v>
      </c>
    </row>
    <row r="2056" spans="1:3">
      <c r="A2056">
        <v>-74657</v>
      </c>
      <c r="B2056">
        <f t="shared" si="60"/>
        <v>-36913.509999999995</v>
      </c>
    </row>
    <row r="2057" spans="1:3">
      <c r="A2057">
        <v>74585.440000000002</v>
      </c>
      <c r="B2057">
        <f t="shared" si="60"/>
        <v>37671.930000000008</v>
      </c>
      <c r="C2057" s="58">
        <v>-71.56</v>
      </c>
    </row>
    <row r="2058" spans="1:3">
      <c r="A2058">
        <v>-74579.95</v>
      </c>
      <c r="B2058">
        <f t="shared" si="60"/>
        <v>-36908.01999999999</v>
      </c>
    </row>
    <row r="2059" spans="1:3">
      <c r="A2059">
        <v>-74421.5</v>
      </c>
      <c r="B2059">
        <f t="shared" si="60"/>
        <v>-111329.51999999999</v>
      </c>
    </row>
    <row r="2060" spans="1:3">
      <c r="A2060">
        <v>74491.460000000006</v>
      </c>
      <c r="B2060">
        <f t="shared" si="60"/>
        <v>-36838.059999999983</v>
      </c>
      <c r="C2060" s="58">
        <v>69.959999999999994</v>
      </c>
    </row>
    <row r="2061" spans="1:3">
      <c r="A2061">
        <v>74516.45</v>
      </c>
      <c r="B2061">
        <f t="shared" si="60"/>
        <v>37678.390000000014</v>
      </c>
      <c r="C2061" s="58">
        <v>-63.5</v>
      </c>
    </row>
    <row r="2062" spans="1:3">
      <c r="A2062">
        <v>-74413.41</v>
      </c>
      <c r="B2062">
        <f t="shared" si="60"/>
        <v>-36735.01999999999</v>
      </c>
    </row>
    <row r="2063" spans="1:3">
      <c r="A2063">
        <v>-74441.539999999994</v>
      </c>
      <c r="B2063">
        <f t="shared" si="60"/>
        <v>-111176.55999999998</v>
      </c>
    </row>
    <row r="2064" spans="1:3">
      <c r="A2064">
        <v>74477.2</v>
      </c>
      <c r="B2064">
        <f t="shared" si="60"/>
        <v>-36699.359999999986</v>
      </c>
      <c r="C2064" s="58">
        <v>35.659999999999997</v>
      </c>
    </row>
    <row r="2065" spans="1:3">
      <c r="A2065">
        <v>74483.460000000006</v>
      </c>
      <c r="B2065">
        <f t="shared" si="60"/>
        <v>37784.10000000002</v>
      </c>
      <c r="C2065" s="58">
        <v>70.05</v>
      </c>
    </row>
    <row r="2066" spans="1:3">
      <c r="A2066">
        <v>-74492</v>
      </c>
      <c r="B2066">
        <f t="shared" si="60"/>
        <v>-36707.89999999998</v>
      </c>
    </row>
    <row r="2067" spans="1:3">
      <c r="A2067">
        <v>74536.850000000006</v>
      </c>
      <c r="B2067">
        <f t="shared" si="60"/>
        <v>37828.950000000026</v>
      </c>
      <c r="C2067" s="58">
        <v>44.85</v>
      </c>
    </row>
    <row r="2068" spans="1:3">
      <c r="A2068">
        <v>-74503.5</v>
      </c>
      <c r="B2068">
        <f t="shared" si="60"/>
        <v>-36674.549999999974</v>
      </c>
    </row>
    <row r="2069" spans="1:3">
      <c r="A2069">
        <v>74544.44</v>
      </c>
      <c r="B2069">
        <f t="shared" si="60"/>
        <v>37869.890000000029</v>
      </c>
      <c r="C2069" s="58">
        <v>40.94</v>
      </c>
    </row>
    <row r="2070" spans="1:3">
      <c r="A2070">
        <v>-74537</v>
      </c>
      <c r="B2070">
        <f t="shared" si="60"/>
        <v>-36667.109999999971</v>
      </c>
    </row>
    <row r="2071" spans="1:3">
      <c r="A2071">
        <v>74553.5</v>
      </c>
      <c r="B2071">
        <f t="shared" si="60"/>
        <v>37886.390000000029</v>
      </c>
      <c r="C2071" s="58">
        <v>16.5</v>
      </c>
    </row>
    <row r="2072" spans="1:3">
      <c r="A2072">
        <v>-74543.5</v>
      </c>
      <c r="B2072">
        <f t="shared" si="60"/>
        <v>-36657.109999999971</v>
      </c>
    </row>
    <row r="2073" spans="1:3">
      <c r="A2073">
        <v>74554.44</v>
      </c>
      <c r="B2073">
        <f t="shared" si="60"/>
        <v>37897.330000000031</v>
      </c>
      <c r="C2073" s="58">
        <v>10.94</v>
      </c>
    </row>
    <row r="2074" spans="1:3">
      <c r="A2074">
        <v>-74602.990000000005</v>
      </c>
      <c r="B2074">
        <f t="shared" si="60"/>
        <v>-36705.659999999974</v>
      </c>
    </row>
    <row r="2075" spans="1:3">
      <c r="A2075">
        <v>74617.899999999994</v>
      </c>
      <c r="B2075">
        <f t="shared" si="60"/>
        <v>37912.24000000002</v>
      </c>
      <c r="C2075" s="58">
        <v>14.91</v>
      </c>
    </row>
    <row r="2076" spans="1:3">
      <c r="A2076">
        <v>-74627.92</v>
      </c>
      <c r="B2076">
        <f t="shared" si="60"/>
        <v>-36715.679999999978</v>
      </c>
    </row>
    <row r="2077" spans="1:3">
      <c r="A2077">
        <v>74618.94</v>
      </c>
      <c r="B2077">
        <f t="shared" si="60"/>
        <v>37903.260000000024</v>
      </c>
      <c r="C2077" s="58">
        <v>-8.98</v>
      </c>
    </row>
    <row r="2078" spans="1:3">
      <c r="A2078">
        <v>-74698</v>
      </c>
      <c r="B2078">
        <f t="shared" si="60"/>
        <v>-36794.739999999976</v>
      </c>
    </row>
    <row r="2079" spans="1:3">
      <c r="A2079">
        <v>-74686.23</v>
      </c>
      <c r="B2079">
        <f t="shared" si="60"/>
        <v>-111480.96999999997</v>
      </c>
    </row>
    <row r="2080" spans="1:3">
      <c r="A2080">
        <v>74689.72</v>
      </c>
      <c r="B2080">
        <f t="shared" si="60"/>
        <v>-36791.249999999971</v>
      </c>
      <c r="C2080" s="58">
        <v>3.49</v>
      </c>
    </row>
    <row r="2081" spans="1:3">
      <c r="A2081">
        <v>74697.899999999994</v>
      </c>
      <c r="B2081">
        <f t="shared" si="60"/>
        <v>37906.650000000023</v>
      </c>
      <c r="C2081" s="58">
        <v>-0.1</v>
      </c>
    </row>
    <row r="2082" spans="1:3">
      <c r="A2082">
        <v>-74550</v>
      </c>
      <c r="B2082">
        <f t="shared" si="60"/>
        <v>-36643.349999999977</v>
      </c>
    </row>
    <row r="2083" spans="1:3">
      <c r="A2083">
        <v>74524.94</v>
      </c>
      <c r="B2083">
        <f t="shared" si="60"/>
        <v>37881.590000000026</v>
      </c>
      <c r="C2083" s="58">
        <v>-25.06</v>
      </c>
    </row>
    <row r="2084" spans="1:3">
      <c r="B2084" t="s">
        <v>2</v>
      </c>
      <c r="C2084">
        <f>SUM(C2050:C2083)</f>
        <v>203.93</v>
      </c>
    </row>
    <row r="2085" spans="1:3">
      <c r="B2085" t="s">
        <v>3</v>
      </c>
      <c r="C2085">
        <f>+B2083-B2049</f>
        <v>203.93000000002212</v>
      </c>
    </row>
    <row r="2087" spans="1:3">
      <c r="A2087" t="s">
        <v>210</v>
      </c>
      <c r="B2087" t="s">
        <v>5</v>
      </c>
      <c r="C2087" s="58">
        <f>SUMIF(A2050:A2083,"&lt;0")</f>
        <v>-1267234.04</v>
      </c>
    </row>
    <row r="2088" spans="1:3">
      <c r="A2088" t="str">
        <f>"SPY " &amp; COUNT(C2050:C2083) * 100 &amp; "股"</f>
        <v>SPY 1700股</v>
      </c>
      <c r="B2088" t="s">
        <v>6</v>
      </c>
      <c r="C2088" s="58">
        <f>SUMIF(A2050:A2083,"&gt;0")</f>
        <v>1267437.97</v>
      </c>
    </row>
    <row r="2089" spans="1:3">
      <c r="B2089" t="s">
        <v>7</v>
      </c>
      <c r="C2089" s="58">
        <f>+C2087+C2088</f>
        <v>203.92999999993481</v>
      </c>
    </row>
    <row r="2090" spans="1:3">
      <c r="B2090" t="s">
        <v>8</v>
      </c>
      <c r="C2090" s="45">
        <f>C2089/ABS(C2087)</f>
        <v>1.609252857506375E-4</v>
      </c>
    </row>
    <row r="2093" spans="1:3">
      <c r="A2093" t="s">
        <v>211</v>
      </c>
      <c r="B2093">
        <v>37851.300000000003</v>
      </c>
      <c r="C2093" t="s">
        <v>1</v>
      </c>
    </row>
    <row r="2094" spans="1:3">
      <c r="A2094">
        <v>-74850.5</v>
      </c>
      <c r="B2094">
        <f t="shared" ref="B2094:B2101" si="61">+B2093+A2094</f>
        <v>-36999.199999999997</v>
      </c>
    </row>
    <row r="2095" spans="1:3">
      <c r="A2095">
        <v>74853.279999999999</v>
      </c>
      <c r="B2095">
        <f t="shared" si="61"/>
        <v>37854.080000000002</v>
      </c>
      <c r="C2095">
        <v>2.78</v>
      </c>
    </row>
    <row r="2096" spans="1:3">
      <c r="A2096">
        <v>-74660.600000000006</v>
      </c>
      <c r="B2096">
        <f t="shared" si="61"/>
        <v>-36806.520000000004</v>
      </c>
    </row>
    <row r="2097" spans="1:3">
      <c r="A2097">
        <v>-74539.5</v>
      </c>
      <c r="B2097">
        <f t="shared" si="61"/>
        <v>-111346.02</v>
      </c>
    </row>
    <row r="2098" spans="1:3">
      <c r="A2098">
        <v>74519.45</v>
      </c>
      <c r="B2098">
        <f t="shared" si="61"/>
        <v>-36826.570000000007</v>
      </c>
      <c r="C2098">
        <v>-20.05</v>
      </c>
    </row>
    <row r="2099" spans="1:3">
      <c r="A2099">
        <v>-74490.5</v>
      </c>
      <c r="B2099">
        <f t="shared" si="61"/>
        <v>-111317.07</v>
      </c>
    </row>
    <row r="2100" spans="1:3">
      <c r="A2100">
        <v>74450.95</v>
      </c>
      <c r="B2100">
        <f t="shared" si="61"/>
        <v>-36866.12000000001</v>
      </c>
      <c r="C2100">
        <v>-39.549999999999997</v>
      </c>
    </row>
    <row r="2101" spans="1:3">
      <c r="A2101">
        <v>74536.679999999993</v>
      </c>
      <c r="B2101">
        <f t="shared" si="61"/>
        <v>37670.559999999983</v>
      </c>
      <c r="C2101">
        <v>-123.92</v>
      </c>
    </row>
    <row r="2102" spans="1:3">
      <c r="B2102" t="s">
        <v>2</v>
      </c>
      <c r="C2102">
        <f>SUM(C2094:C2101)</f>
        <v>-180.74</v>
      </c>
    </row>
    <row r="2103" spans="1:3">
      <c r="B2103" t="s">
        <v>3</v>
      </c>
      <c r="C2103">
        <f>+B2101-B2093</f>
        <v>-180.74000000001979</v>
      </c>
    </row>
    <row r="2105" spans="1:3">
      <c r="A2105" t="s">
        <v>212</v>
      </c>
      <c r="B2105" t="s">
        <v>5</v>
      </c>
      <c r="C2105" s="58">
        <f>SUMIF(A2094:A2101,"&lt;0")</f>
        <v>-298541.09999999998</v>
      </c>
    </row>
    <row r="2106" spans="1:3">
      <c r="A2106" t="str">
        <f>"SPY "&amp;COUNT(C2094:C2101)*100&amp;"股"</f>
        <v>SPY 400股</v>
      </c>
      <c r="B2106" t="s">
        <v>6</v>
      </c>
      <c r="C2106" s="58">
        <f>SUMIF(A2094:A2101,"&gt;0")</f>
        <v>298360.36</v>
      </c>
    </row>
    <row r="2107" spans="1:3">
      <c r="B2107" t="s">
        <v>7</v>
      </c>
      <c r="C2107" s="58">
        <f>+C2105+C2106</f>
        <v>-180.73999999999069</v>
      </c>
    </row>
    <row r="2108" spans="1:3">
      <c r="B2108" t="s">
        <v>8</v>
      </c>
      <c r="C2108" s="45">
        <f>C2107/ABS(C2105)</f>
        <v>-6.0541077928630499E-4</v>
      </c>
    </row>
    <row r="2111" spans="1:3">
      <c r="A2111" t="s">
        <v>213</v>
      </c>
      <c r="B2111">
        <v>38055.230000000003</v>
      </c>
      <c r="C2111" t="s">
        <v>1</v>
      </c>
    </row>
    <row r="2112" spans="1:3">
      <c r="A2112">
        <v>74487.460000000006</v>
      </c>
      <c r="B2112">
        <f t="shared" ref="B2112:B2133" si="62">+B2111+A2112</f>
        <v>112542.69</v>
      </c>
    </row>
    <row r="2113" spans="1:3">
      <c r="A2113">
        <v>-74462</v>
      </c>
      <c r="B2113">
        <f t="shared" si="62"/>
        <v>38080.69</v>
      </c>
      <c r="C2113">
        <v>25.46</v>
      </c>
    </row>
    <row r="2114" spans="1:3">
      <c r="A2114">
        <v>74448.45</v>
      </c>
      <c r="B2114">
        <f t="shared" si="62"/>
        <v>112529.14</v>
      </c>
    </row>
    <row r="2115" spans="1:3">
      <c r="A2115">
        <v>-74449.5</v>
      </c>
      <c r="B2115">
        <f t="shared" si="62"/>
        <v>38079.64</v>
      </c>
      <c r="C2115">
        <v>-1.05</v>
      </c>
    </row>
    <row r="2116" spans="1:3">
      <c r="A2116">
        <v>74481.81</v>
      </c>
      <c r="B2116">
        <f t="shared" si="62"/>
        <v>112561.45</v>
      </c>
    </row>
    <row r="2117" spans="1:3">
      <c r="A2117">
        <v>-74480</v>
      </c>
      <c r="B2117">
        <f t="shared" si="62"/>
        <v>38081.449999999997</v>
      </c>
      <c r="C2117">
        <v>1.81</v>
      </c>
    </row>
    <row r="2118" spans="1:3">
      <c r="A2118">
        <v>74504.899999999994</v>
      </c>
      <c r="B2118">
        <f t="shared" si="62"/>
        <v>112586.34999999999</v>
      </c>
    </row>
    <row r="2119" spans="1:3">
      <c r="A2119">
        <v>-74534</v>
      </c>
      <c r="B2119">
        <f t="shared" si="62"/>
        <v>38052.349999999991</v>
      </c>
      <c r="C2119">
        <v>-29.1</v>
      </c>
    </row>
    <row r="2120" spans="1:3">
      <c r="A2120">
        <v>74568.44</v>
      </c>
      <c r="B2120">
        <f t="shared" si="62"/>
        <v>112620.79</v>
      </c>
    </row>
    <row r="2121" spans="1:3">
      <c r="A2121">
        <v>-74487.5</v>
      </c>
      <c r="B2121">
        <f t="shared" si="62"/>
        <v>38133.289999999994</v>
      </c>
      <c r="C2121">
        <v>80.94</v>
      </c>
    </row>
    <row r="2122" spans="1:3">
      <c r="A2122">
        <v>74499.600000000006</v>
      </c>
      <c r="B2122">
        <f t="shared" si="62"/>
        <v>112632.89</v>
      </c>
    </row>
    <row r="2123" spans="1:3">
      <c r="A2123">
        <v>-74552.5</v>
      </c>
      <c r="B2123">
        <f t="shared" si="62"/>
        <v>38080.39</v>
      </c>
      <c r="C2123">
        <v>-52.9</v>
      </c>
    </row>
    <row r="2124" spans="1:3">
      <c r="A2124">
        <v>74653.45</v>
      </c>
      <c r="B2124">
        <f t="shared" si="62"/>
        <v>112733.84</v>
      </c>
    </row>
    <row r="2125" spans="1:3">
      <c r="A2125">
        <v>-74674.990000000005</v>
      </c>
      <c r="B2125">
        <f t="shared" si="62"/>
        <v>38058.849999999991</v>
      </c>
      <c r="C2125">
        <v>-21.54</v>
      </c>
    </row>
    <row r="2126" spans="1:3">
      <c r="A2126">
        <v>74671.94</v>
      </c>
      <c r="B2126">
        <f t="shared" si="62"/>
        <v>112730.79</v>
      </c>
    </row>
    <row r="2127" spans="1:3">
      <c r="A2127">
        <v>-74668.259999999995</v>
      </c>
      <c r="B2127">
        <f t="shared" si="62"/>
        <v>38062.53</v>
      </c>
      <c r="C2127">
        <v>3.68</v>
      </c>
    </row>
    <row r="2128" spans="1:3">
      <c r="A2128">
        <v>74647.44</v>
      </c>
      <c r="B2128">
        <f t="shared" si="62"/>
        <v>112709.97</v>
      </c>
    </row>
    <row r="2129" spans="1:3">
      <c r="A2129">
        <v>-74646.990000000005</v>
      </c>
      <c r="B2129">
        <f t="shared" si="62"/>
        <v>38062.979999999996</v>
      </c>
      <c r="C2129">
        <v>0.45</v>
      </c>
    </row>
    <row r="2130" spans="1:3">
      <c r="A2130">
        <v>74756.320000000007</v>
      </c>
      <c r="B2130">
        <f t="shared" si="62"/>
        <v>112819.3</v>
      </c>
    </row>
    <row r="2131" spans="1:3">
      <c r="A2131">
        <v>-74749.5</v>
      </c>
      <c r="B2131">
        <f t="shared" si="62"/>
        <v>38069.800000000003</v>
      </c>
      <c r="C2131">
        <v>6.82</v>
      </c>
    </row>
    <row r="2132" spans="1:3">
      <c r="A2132">
        <v>74767.94</v>
      </c>
      <c r="B2132">
        <f t="shared" si="62"/>
        <v>112837.74</v>
      </c>
    </row>
    <row r="2133" spans="1:3">
      <c r="A2133">
        <v>-74760.28</v>
      </c>
      <c r="B2133">
        <f t="shared" si="62"/>
        <v>38077.460000000006</v>
      </c>
      <c r="C2133">
        <v>7.66</v>
      </c>
    </row>
    <row r="2134" spans="1:3">
      <c r="B2134" t="s">
        <v>2</v>
      </c>
      <c r="C2134">
        <f>SUM(C2112:C2133)</f>
        <v>22.230000000000004</v>
      </c>
    </row>
    <row r="2135" spans="1:3">
      <c r="B2135" t="s">
        <v>3</v>
      </c>
      <c r="C2135">
        <f>+B2133-B2111</f>
        <v>22.230000000003201</v>
      </c>
    </row>
    <row r="2137" spans="1:3">
      <c r="A2137" t="s">
        <v>214</v>
      </c>
      <c r="B2137" t="s">
        <v>5</v>
      </c>
      <c r="C2137" s="58">
        <f>SUMIF(A2112:A2133,"&lt;0")</f>
        <v>-820465.52</v>
      </c>
    </row>
    <row r="2138" spans="1:3">
      <c r="A2138" t="str">
        <f>"SPY " &amp; COUNT(C2112:C2133) * 100 &amp; "股"</f>
        <v>SPY 1100股</v>
      </c>
      <c r="B2138" t="s">
        <v>6</v>
      </c>
      <c r="C2138" s="58">
        <f>SUMIF(A2112:A2133,"&gt;0")</f>
        <v>820487.75</v>
      </c>
    </row>
    <row r="2139" spans="1:3">
      <c r="B2139" t="s">
        <v>7</v>
      </c>
      <c r="C2139" s="58">
        <f>+C2137+C2138</f>
        <v>22.229999999981374</v>
      </c>
    </row>
    <row r="2140" spans="1:3">
      <c r="B2140" t="s">
        <v>8</v>
      </c>
      <c r="C2140" s="45">
        <f>C2139/ABS(C2137)</f>
        <v>2.7094374422926845E-5</v>
      </c>
    </row>
    <row r="2143" spans="1:3">
      <c r="A2143" t="s">
        <v>215</v>
      </c>
      <c r="B2143">
        <v>37874.49</v>
      </c>
      <c r="C2143" t="s">
        <v>1</v>
      </c>
    </row>
    <row r="2144" spans="1:3">
      <c r="A2144">
        <v>-74903.41</v>
      </c>
      <c r="B2144">
        <f t="shared" ref="B2144:B2163" si="63">+B2143+A2144</f>
        <v>-37028.920000000006</v>
      </c>
    </row>
    <row r="2145" spans="1:3">
      <c r="A2145">
        <v>74929.440000000002</v>
      </c>
      <c r="B2145">
        <f t="shared" si="63"/>
        <v>37900.519999999997</v>
      </c>
      <c r="C2145">
        <v>26.03</v>
      </c>
    </row>
    <row r="2146" spans="1:3">
      <c r="A2146">
        <v>-74771</v>
      </c>
      <c r="B2146">
        <f t="shared" si="63"/>
        <v>-36870.480000000003</v>
      </c>
    </row>
    <row r="2147" spans="1:3">
      <c r="A2147">
        <v>74730.44</v>
      </c>
      <c r="B2147">
        <f t="shared" si="63"/>
        <v>37859.96</v>
      </c>
      <c r="C2147">
        <v>-40.56</v>
      </c>
    </row>
    <row r="2148" spans="1:3">
      <c r="A2148">
        <v>74723.44</v>
      </c>
      <c r="B2148">
        <f t="shared" si="63"/>
        <v>112583.4</v>
      </c>
    </row>
    <row r="2149" spans="1:3">
      <c r="A2149">
        <v>-74743.5</v>
      </c>
      <c r="B2149">
        <f t="shared" si="63"/>
        <v>37839.899999999994</v>
      </c>
      <c r="C2149">
        <v>-20.059999999999999</v>
      </c>
    </row>
    <row r="2150" spans="1:3">
      <c r="A2150">
        <v>74726.94</v>
      </c>
      <c r="B2150">
        <f t="shared" si="63"/>
        <v>112566.84</v>
      </c>
    </row>
    <row r="2151" spans="1:3">
      <c r="A2151">
        <v>-74720.479999999996</v>
      </c>
      <c r="B2151">
        <f t="shared" si="63"/>
        <v>37846.36</v>
      </c>
      <c r="C2151">
        <v>6.46</v>
      </c>
    </row>
    <row r="2152" spans="1:3">
      <c r="A2152">
        <v>74741.94</v>
      </c>
      <c r="B2152">
        <f t="shared" si="63"/>
        <v>112588.3</v>
      </c>
    </row>
    <row r="2153" spans="1:3">
      <c r="A2153">
        <v>74846.820000000007</v>
      </c>
      <c r="B2153">
        <f t="shared" si="63"/>
        <v>187435.12</v>
      </c>
    </row>
    <row r="2154" spans="1:3">
      <c r="A2154">
        <v>-74862</v>
      </c>
      <c r="B2154">
        <f t="shared" si="63"/>
        <v>112573.12</v>
      </c>
      <c r="C2154">
        <v>-15.18</v>
      </c>
    </row>
    <row r="2155" spans="1:3">
      <c r="A2155">
        <v>74956.44</v>
      </c>
      <c r="B2155">
        <f t="shared" si="63"/>
        <v>187529.56</v>
      </c>
    </row>
    <row r="2156" spans="1:3">
      <c r="A2156">
        <v>-74942.960000000006</v>
      </c>
      <c r="B2156">
        <f t="shared" si="63"/>
        <v>112586.59999999999</v>
      </c>
      <c r="C2156">
        <v>13.48</v>
      </c>
    </row>
    <row r="2157" spans="1:3">
      <c r="A2157">
        <v>-74898</v>
      </c>
      <c r="B2157">
        <f t="shared" si="63"/>
        <v>37688.599999999991</v>
      </c>
      <c r="C2157">
        <v>-156.06</v>
      </c>
    </row>
    <row r="2158" spans="1:3">
      <c r="A2158">
        <v>-74932</v>
      </c>
      <c r="B2158">
        <f t="shared" si="63"/>
        <v>-37243.400000000009</v>
      </c>
    </row>
    <row r="2159" spans="1:3">
      <c r="A2159">
        <v>74934.789999999994</v>
      </c>
      <c r="B2159">
        <f t="shared" si="63"/>
        <v>37691.389999999985</v>
      </c>
      <c r="C2159">
        <v>2.79</v>
      </c>
    </row>
    <row r="2160" spans="1:3">
      <c r="A2160">
        <v>74930.44</v>
      </c>
      <c r="B2160">
        <f t="shared" si="63"/>
        <v>112621.82999999999</v>
      </c>
    </row>
    <row r="2161" spans="1:3">
      <c r="A2161">
        <v>-74943.28</v>
      </c>
      <c r="B2161">
        <f t="shared" si="63"/>
        <v>37678.549999999988</v>
      </c>
      <c r="C2161">
        <v>-12.84</v>
      </c>
    </row>
    <row r="2162" spans="1:3">
      <c r="A2162">
        <v>74969.440000000002</v>
      </c>
      <c r="B2162">
        <f t="shared" si="63"/>
        <v>112647.98999999999</v>
      </c>
    </row>
    <row r="2163" spans="1:3">
      <c r="A2163">
        <v>-74979</v>
      </c>
      <c r="B2163">
        <f t="shared" si="63"/>
        <v>37668.989999999991</v>
      </c>
      <c r="C2163">
        <v>-9.56</v>
      </c>
    </row>
    <row r="2164" spans="1:3">
      <c r="B2164" t="s">
        <v>2</v>
      </c>
      <c r="C2164" s="58">
        <f>SUM(C2144:C2163)</f>
        <v>-205.50000000000003</v>
      </c>
    </row>
    <row r="2165" spans="1:3">
      <c r="B2165" t="s">
        <v>3</v>
      </c>
      <c r="C2165" s="58">
        <f>+B2163-B2143</f>
        <v>-205.50000000000728</v>
      </c>
    </row>
    <row r="2167" spans="1:3">
      <c r="A2167" t="s">
        <v>216</v>
      </c>
      <c r="B2167" t="s">
        <v>5</v>
      </c>
      <c r="C2167" s="58">
        <f>SUMIF(A2144:A2163,"&lt;0")</f>
        <v>-748695.63000000012</v>
      </c>
    </row>
    <row r="2168" spans="1:3">
      <c r="A2168" t="str">
        <f>"SPY " &amp; COUNT(C2144:C2163) * 100 &amp; "股"</f>
        <v>SPY 1000股</v>
      </c>
      <c r="B2168" t="s">
        <v>6</v>
      </c>
      <c r="C2168" s="58">
        <f>SUMIF(A2144:A2163,"&gt;0")</f>
        <v>748490.12999999989</v>
      </c>
    </row>
    <row r="2169" spans="1:3">
      <c r="B2169" t="s">
        <v>7</v>
      </c>
      <c r="C2169" s="58">
        <f>+C2167+C2168</f>
        <v>-205.50000000023283</v>
      </c>
    </row>
    <row r="2170" spans="1:3">
      <c r="B2170" t="s">
        <v>8</v>
      </c>
      <c r="C2170" s="45">
        <f>C2169/ABS(C2167)</f>
        <v>-2.7447736004580764E-4</v>
      </c>
    </row>
    <row r="2173" spans="1:3">
      <c r="A2173" t="s">
        <v>217</v>
      </c>
      <c r="B2173">
        <v>37896.720000000001</v>
      </c>
      <c r="C2173" t="s">
        <v>1</v>
      </c>
    </row>
    <row r="2174" spans="1:3">
      <c r="A2174">
        <v>74003.460000000006</v>
      </c>
      <c r="B2174">
        <f t="shared" ref="B2174:B2189" si="64">+B2173+A2174</f>
        <v>111900.18000000001</v>
      </c>
    </row>
    <row r="2175" spans="1:3">
      <c r="A2175">
        <v>-73987</v>
      </c>
      <c r="B2175">
        <f t="shared" si="64"/>
        <v>37913.180000000008</v>
      </c>
      <c r="C2175">
        <v>16.46</v>
      </c>
    </row>
    <row r="2176" spans="1:3">
      <c r="A2176">
        <v>-74058.5</v>
      </c>
      <c r="B2176">
        <f t="shared" si="64"/>
        <v>-36145.319999999992</v>
      </c>
    </row>
    <row r="2177" spans="1:3">
      <c r="A2177">
        <v>73990.960000000006</v>
      </c>
      <c r="B2177">
        <f t="shared" si="64"/>
        <v>37845.640000000014</v>
      </c>
      <c r="C2177">
        <v>-67.540000000000006</v>
      </c>
    </row>
    <row r="2178" spans="1:3">
      <c r="A2178">
        <v>-74006.5</v>
      </c>
      <c r="B2178">
        <f t="shared" si="64"/>
        <v>-36160.859999999986</v>
      </c>
    </row>
    <row r="2179" spans="1:3">
      <c r="A2179">
        <v>-73945.5</v>
      </c>
      <c r="B2179">
        <f t="shared" si="64"/>
        <v>-110106.35999999999</v>
      </c>
    </row>
    <row r="2180" spans="1:3">
      <c r="A2180">
        <v>73981.960000000006</v>
      </c>
      <c r="B2180">
        <f t="shared" si="64"/>
        <v>-36124.39999999998</v>
      </c>
      <c r="C2180">
        <v>36.46</v>
      </c>
    </row>
    <row r="2181" spans="1:3">
      <c r="A2181">
        <v>73881.47</v>
      </c>
      <c r="B2181">
        <f t="shared" si="64"/>
        <v>37757.070000000022</v>
      </c>
      <c r="C2181">
        <v>-125.03</v>
      </c>
    </row>
    <row r="2182" spans="1:3">
      <c r="A2182">
        <v>73966.58</v>
      </c>
      <c r="B2182">
        <f t="shared" si="64"/>
        <v>111723.65000000002</v>
      </c>
    </row>
    <row r="2183" spans="1:3">
      <c r="A2183">
        <v>74029.95</v>
      </c>
      <c r="B2183">
        <f t="shared" si="64"/>
        <v>185753.60000000003</v>
      </c>
    </row>
    <row r="2184" spans="1:3">
      <c r="A2184">
        <v>-73948</v>
      </c>
      <c r="B2184">
        <f t="shared" si="64"/>
        <v>111805.60000000003</v>
      </c>
      <c r="C2184">
        <v>81.95</v>
      </c>
    </row>
    <row r="2185" spans="1:3">
      <c r="A2185">
        <v>-73903.28</v>
      </c>
      <c r="B2185">
        <f t="shared" si="64"/>
        <v>37902.320000000036</v>
      </c>
      <c r="C2185">
        <v>63.3</v>
      </c>
    </row>
    <row r="2186" spans="1:3">
      <c r="A2186">
        <v>-73647</v>
      </c>
      <c r="B2186">
        <f t="shared" si="64"/>
        <v>-35744.679999999964</v>
      </c>
    </row>
    <row r="2187" spans="1:3">
      <c r="A2187">
        <v>73717.52</v>
      </c>
      <c r="B2187">
        <f t="shared" si="64"/>
        <v>37972.84000000004</v>
      </c>
      <c r="C2187">
        <v>70.52</v>
      </c>
    </row>
    <row r="2188" spans="1:3">
      <c r="A2188">
        <v>-73655</v>
      </c>
      <c r="B2188">
        <f t="shared" si="64"/>
        <v>-35682.15999999996</v>
      </c>
    </row>
    <row r="2189" spans="1:3">
      <c r="A2189">
        <v>73724.960000000006</v>
      </c>
      <c r="B2189">
        <f t="shared" si="64"/>
        <v>38042.800000000047</v>
      </c>
      <c r="C2189">
        <v>69.959999999999994</v>
      </c>
    </row>
    <row r="2190" spans="1:3">
      <c r="B2190" t="s">
        <v>2</v>
      </c>
      <c r="C2190" s="58">
        <f>SUM(C2174:C2189)</f>
        <v>146.07999999999998</v>
      </c>
    </row>
    <row r="2191" spans="1:3">
      <c r="B2191" t="s">
        <v>3</v>
      </c>
      <c r="C2191" s="58">
        <f>+B2189-B2173</f>
        <v>146.0800000000454</v>
      </c>
    </row>
    <row r="2193" spans="1:3">
      <c r="A2193" t="s">
        <v>218</v>
      </c>
      <c r="B2193" t="s">
        <v>5</v>
      </c>
      <c r="C2193" s="58">
        <f>SUMIF(A2174:A2189,"&lt;0")</f>
        <v>-591150.78</v>
      </c>
    </row>
    <row r="2194" spans="1:3">
      <c r="A2194" t="str">
        <f>"SPY " &amp; COUNT(C2174:C2189) * 100 &amp; "股"</f>
        <v>SPY 800股</v>
      </c>
      <c r="B2194" t="s">
        <v>6</v>
      </c>
      <c r="C2194" s="58">
        <f>SUMIF(A2174:A2189,"&gt;0")</f>
        <v>591296.86</v>
      </c>
    </row>
    <row r="2195" spans="1:3">
      <c r="B2195" t="s">
        <v>7</v>
      </c>
      <c r="C2195" s="58">
        <f>+C2193+C2194</f>
        <v>146.07999999995809</v>
      </c>
    </row>
    <row r="2196" spans="1:3">
      <c r="B2196" t="s">
        <v>8</v>
      </c>
      <c r="C2196" s="45">
        <f>C2195/ABS(C2193)</f>
        <v>2.4711123615528017E-4</v>
      </c>
    </row>
    <row r="2199" spans="1:3">
      <c r="A2199" t="s">
        <v>219</v>
      </c>
      <c r="B2199">
        <v>38018.04</v>
      </c>
      <c r="C2199" t="s">
        <v>1</v>
      </c>
    </row>
    <row r="2200" spans="1:3">
      <c r="A2200">
        <v>-73882.5</v>
      </c>
      <c r="B2200">
        <f t="shared" ref="B2200:B2213" si="65">+B2199+A2200</f>
        <v>-35864.46</v>
      </c>
    </row>
    <row r="2201" spans="1:3">
      <c r="A2201">
        <v>73957.460000000006</v>
      </c>
      <c r="B2201">
        <f t="shared" si="65"/>
        <v>38093.000000000007</v>
      </c>
      <c r="C2201">
        <v>74.959999999999994</v>
      </c>
    </row>
    <row r="2202" spans="1:3">
      <c r="A2202">
        <v>-73970</v>
      </c>
      <c r="B2202">
        <f t="shared" si="65"/>
        <v>-35876.999999999993</v>
      </c>
    </row>
    <row r="2203" spans="1:3">
      <c r="A2203">
        <v>73782.02</v>
      </c>
      <c r="B2203">
        <f t="shared" si="65"/>
        <v>37905.020000000011</v>
      </c>
      <c r="C2203">
        <v>-187.98</v>
      </c>
    </row>
    <row r="2204" spans="1:3">
      <c r="A2204">
        <v>-73796.5</v>
      </c>
      <c r="B2204">
        <f t="shared" si="65"/>
        <v>-35891.479999999989</v>
      </c>
    </row>
    <row r="2205" spans="1:3">
      <c r="A2205">
        <v>73936.460000000006</v>
      </c>
      <c r="B2205">
        <f t="shared" si="65"/>
        <v>38044.980000000018</v>
      </c>
      <c r="C2205">
        <v>139.96</v>
      </c>
    </row>
    <row r="2206" spans="1:3">
      <c r="A2206">
        <v>-73882</v>
      </c>
      <c r="B2206">
        <f t="shared" si="65"/>
        <v>-35837.019999999982</v>
      </c>
    </row>
    <row r="2207" spans="1:3">
      <c r="A2207">
        <v>73944.600000000006</v>
      </c>
      <c r="B2207">
        <f t="shared" si="65"/>
        <v>38107.580000000024</v>
      </c>
      <c r="C2207">
        <v>62.6</v>
      </c>
    </row>
    <row r="2208" spans="1:3">
      <c r="A2208">
        <v>-73869.990000000005</v>
      </c>
      <c r="B2208">
        <f t="shared" si="65"/>
        <v>-35762.409999999982</v>
      </c>
    </row>
    <row r="2209" spans="1:3">
      <c r="A2209">
        <v>73760.960000000006</v>
      </c>
      <c r="B2209">
        <f t="shared" si="65"/>
        <v>37998.550000000025</v>
      </c>
      <c r="C2209">
        <v>-109.03</v>
      </c>
    </row>
    <row r="2210" spans="1:3">
      <c r="A2210">
        <v>73802.78</v>
      </c>
      <c r="B2210">
        <f t="shared" si="65"/>
        <v>111801.33000000002</v>
      </c>
    </row>
    <row r="2211" spans="1:3">
      <c r="A2211">
        <v>-73774.899999999994</v>
      </c>
      <c r="B2211">
        <f t="shared" si="65"/>
        <v>38026.430000000022</v>
      </c>
      <c r="C2211">
        <v>27.88</v>
      </c>
    </row>
    <row r="2212" spans="1:3">
      <c r="A2212">
        <v>-73797.2</v>
      </c>
      <c r="B2212">
        <f t="shared" si="65"/>
        <v>-35770.769999999975</v>
      </c>
    </row>
    <row r="2213" spans="1:3">
      <c r="A2213">
        <v>73847.08</v>
      </c>
      <c r="B2213">
        <f t="shared" si="65"/>
        <v>38076.310000000027</v>
      </c>
      <c r="C2213">
        <v>49.88</v>
      </c>
    </row>
    <row r="2214" spans="1:3">
      <c r="B2214" t="s">
        <v>2</v>
      </c>
      <c r="C2214" s="58">
        <f>SUM(C2200:C2213)</f>
        <v>58.270000000000024</v>
      </c>
    </row>
    <row r="2215" spans="1:3">
      <c r="B2215" t="s">
        <v>3</v>
      </c>
      <c r="C2215" s="58">
        <f>+B2213-B2199</f>
        <v>58.270000000025902</v>
      </c>
    </row>
    <row r="2217" spans="1:3">
      <c r="A2217" t="s">
        <v>220</v>
      </c>
      <c r="B2217" t="s">
        <v>5</v>
      </c>
      <c r="C2217" s="58">
        <f>SUMIF(A2200:A2213,"&lt;0")</f>
        <v>-516973.09</v>
      </c>
    </row>
    <row r="2218" spans="1:3">
      <c r="A2218" t="str">
        <f>"SPY " &amp; COUNT(C2200:C2213) * 100 &amp; "股"</f>
        <v>SPY 700股</v>
      </c>
      <c r="B2218" t="s">
        <v>6</v>
      </c>
      <c r="C2218" s="58">
        <f>SUMIF(A2200:A2213,"&gt;0")</f>
        <v>517031.36000000004</v>
      </c>
    </row>
    <row r="2219" spans="1:3">
      <c r="B2219" t="s">
        <v>7</v>
      </c>
      <c r="C2219" s="58">
        <f>+C2217+C2218</f>
        <v>58.270000000018626</v>
      </c>
    </row>
    <row r="2220" spans="1:3">
      <c r="B2220" t="s">
        <v>8</v>
      </c>
      <c r="C2220" s="45">
        <f>C2219/ABS(C2217)</f>
        <v>1.1271379715338496E-4</v>
      </c>
    </row>
    <row r="2223" spans="1:3">
      <c r="A2223" t="s">
        <v>221</v>
      </c>
      <c r="B2223">
        <v>37837.300000000003</v>
      </c>
      <c r="C2223" t="s">
        <v>1</v>
      </c>
    </row>
    <row r="2224" spans="1:3">
      <c r="A2224">
        <v>-74403.990000000005</v>
      </c>
      <c r="B2224">
        <f t="shared" ref="B2224:B2233" si="66">+B2223+A2224</f>
        <v>-36566.69</v>
      </c>
    </row>
    <row r="2225" spans="1:3">
      <c r="A2225">
        <v>74392.479999999996</v>
      </c>
      <c r="B2225">
        <f t="shared" si="66"/>
        <v>37825.789999999994</v>
      </c>
      <c r="C2225">
        <v>-11.51</v>
      </c>
    </row>
    <row r="2226" spans="1:3">
      <c r="A2226">
        <v>-74369.8</v>
      </c>
      <c r="B2226">
        <f t="shared" si="66"/>
        <v>-36544.010000000009</v>
      </c>
    </row>
    <row r="2227" spans="1:3">
      <c r="A2227">
        <v>74230.87</v>
      </c>
      <c r="B2227">
        <f t="shared" si="66"/>
        <v>37686.859999999986</v>
      </c>
      <c r="C2227">
        <v>-138.93</v>
      </c>
    </row>
    <row r="2228" spans="1:3">
      <c r="A2228">
        <v>-74191</v>
      </c>
      <c r="B2228">
        <f t="shared" si="66"/>
        <v>-36504.140000000014</v>
      </c>
    </row>
    <row r="2229" spans="1:3">
      <c r="A2229">
        <v>-74104.77</v>
      </c>
      <c r="B2229">
        <f t="shared" si="66"/>
        <v>-110608.91000000002</v>
      </c>
    </row>
    <row r="2230" spans="1:3">
      <c r="A2230">
        <v>-73819.5</v>
      </c>
      <c r="B2230">
        <f t="shared" si="66"/>
        <v>-184428.41000000003</v>
      </c>
    </row>
    <row r="2231" spans="1:3">
      <c r="A2231">
        <v>73599.539999999994</v>
      </c>
      <c r="B2231">
        <f t="shared" si="66"/>
        <v>-110828.87000000004</v>
      </c>
      <c r="C2231">
        <v>-219.96</v>
      </c>
    </row>
    <row r="2232" spans="1:3">
      <c r="A2232">
        <v>73593.460000000006</v>
      </c>
      <c r="B2232">
        <f t="shared" si="66"/>
        <v>-37235.410000000033</v>
      </c>
      <c r="C2232">
        <v>-511.31</v>
      </c>
    </row>
    <row r="2233" spans="1:3">
      <c r="A2233">
        <v>73587.460000000006</v>
      </c>
      <c r="B2233">
        <f t="shared" si="66"/>
        <v>36352.049999999974</v>
      </c>
      <c r="C2233">
        <v>-603.54</v>
      </c>
    </row>
    <row r="2234" spans="1:3">
      <c r="B2234" t="s">
        <v>2</v>
      </c>
      <c r="C2234" s="58">
        <f>SUM(C2224:C2233)</f>
        <v>-1485.25</v>
      </c>
    </row>
    <row r="2235" spans="1:3">
      <c r="B2235" t="s">
        <v>3</v>
      </c>
      <c r="C2235" s="58">
        <f>+B2233-B2223</f>
        <v>-1485.2500000000291</v>
      </c>
    </row>
    <row r="2237" spans="1:3">
      <c r="A2237" t="s">
        <v>222</v>
      </c>
      <c r="B2237" t="s">
        <v>5</v>
      </c>
      <c r="C2237" s="58">
        <f>SUMIF(A2224:A2233,"&lt;0")</f>
        <v>-370889.06</v>
      </c>
    </row>
    <row r="2238" spans="1:3">
      <c r="A2238" t="str">
        <f>"SPY " &amp; COUNT(C2224:C2233) * 100 &amp; "股"</f>
        <v>SPY 500股</v>
      </c>
      <c r="B2238" t="s">
        <v>6</v>
      </c>
      <c r="C2238" s="58">
        <f>SUMIF(A2224:A2233,"&gt;0")</f>
        <v>369403.81</v>
      </c>
    </row>
    <row r="2239" spans="1:3">
      <c r="B2239" t="s">
        <v>7</v>
      </c>
      <c r="C2239" s="58">
        <f>+C2237+C2238</f>
        <v>-1485.25</v>
      </c>
    </row>
    <row r="2240" spans="1:3">
      <c r="B2240" t="s">
        <v>8</v>
      </c>
      <c r="C2240" s="45">
        <f>C2239/ABS(C2237)</f>
        <v>-4.0045667564311549E-3</v>
      </c>
    </row>
    <row r="2243" spans="1:3">
      <c r="A2243" t="s">
        <v>223</v>
      </c>
      <c r="B2243">
        <v>37895.57</v>
      </c>
      <c r="C2243" t="s">
        <v>1</v>
      </c>
    </row>
    <row r="2244" spans="1:3">
      <c r="A2244">
        <v>-73843.34</v>
      </c>
      <c r="B2244">
        <f t="shared" ref="B2244:B2265" si="67">+B2243+A2244</f>
        <v>-35947.769999999997</v>
      </c>
    </row>
    <row r="2245" spans="1:3">
      <c r="A2245">
        <v>73827.960000000006</v>
      </c>
      <c r="B2245">
        <f t="shared" si="67"/>
        <v>37880.19000000001</v>
      </c>
      <c r="C2245">
        <v>-15.38</v>
      </c>
    </row>
    <row r="2246" spans="1:3">
      <c r="A2246">
        <v>-73772.5</v>
      </c>
      <c r="B2246">
        <f t="shared" si="67"/>
        <v>-35892.30999999999</v>
      </c>
    </row>
    <row r="2247" spans="1:3">
      <c r="A2247">
        <v>73639.48</v>
      </c>
      <c r="B2247">
        <f t="shared" si="67"/>
        <v>37747.170000000006</v>
      </c>
      <c r="C2247">
        <v>-133.02000000000001</v>
      </c>
    </row>
    <row r="2248" spans="1:3">
      <c r="A2248">
        <v>-73738.36</v>
      </c>
      <c r="B2248">
        <f t="shared" si="67"/>
        <v>-35991.189999999995</v>
      </c>
    </row>
    <row r="2249" spans="1:3">
      <c r="A2249">
        <v>-73652.5</v>
      </c>
      <c r="B2249">
        <f t="shared" si="67"/>
        <v>-109643.69</v>
      </c>
    </row>
    <row r="2250" spans="1:3">
      <c r="A2250">
        <v>73729.91</v>
      </c>
      <c r="B2250">
        <f t="shared" si="67"/>
        <v>-35913.78</v>
      </c>
      <c r="C2250">
        <v>77.41</v>
      </c>
    </row>
    <row r="2251" spans="1:3">
      <c r="A2251">
        <v>-73743.789999999994</v>
      </c>
      <c r="B2251">
        <f t="shared" si="67"/>
        <v>-109657.56999999999</v>
      </c>
    </row>
    <row r="2252" spans="1:3">
      <c r="A2252">
        <v>73735.06</v>
      </c>
      <c r="B2252">
        <f t="shared" si="67"/>
        <v>-35922.509999999995</v>
      </c>
      <c r="C2252">
        <v>-8.73</v>
      </c>
    </row>
    <row r="2253" spans="1:3">
      <c r="A2253">
        <v>73658.97</v>
      </c>
      <c r="B2253">
        <f t="shared" si="67"/>
        <v>37736.460000000006</v>
      </c>
      <c r="C2253">
        <v>-79.39</v>
      </c>
    </row>
    <row r="2254" spans="1:3">
      <c r="A2254">
        <v>-73669</v>
      </c>
      <c r="B2254">
        <f t="shared" si="67"/>
        <v>-35932.539999999994</v>
      </c>
    </row>
    <row r="2255" spans="1:3">
      <c r="A2255">
        <v>73776.509999999995</v>
      </c>
      <c r="B2255">
        <f t="shared" si="67"/>
        <v>37843.97</v>
      </c>
      <c r="C2255">
        <v>107.51</v>
      </c>
    </row>
    <row r="2256" spans="1:3">
      <c r="A2256">
        <v>-73750.990000000005</v>
      </c>
      <c r="B2256">
        <f t="shared" si="67"/>
        <v>-35907.020000000004</v>
      </c>
    </row>
    <row r="2257" spans="1:3">
      <c r="A2257">
        <v>-73796.5</v>
      </c>
      <c r="B2257">
        <f t="shared" si="67"/>
        <v>-109703.52</v>
      </c>
    </row>
    <row r="2258" spans="1:3">
      <c r="A2258">
        <v>73832.460000000006</v>
      </c>
      <c r="B2258">
        <f t="shared" si="67"/>
        <v>-35871.06</v>
      </c>
      <c r="C2258">
        <v>35.96</v>
      </c>
    </row>
    <row r="2259" spans="1:3">
      <c r="A2259">
        <v>-73830.5</v>
      </c>
      <c r="B2259">
        <f t="shared" si="67"/>
        <v>-109701.56</v>
      </c>
    </row>
    <row r="2260" spans="1:3">
      <c r="A2260">
        <v>73877.460000000006</v>
      </c>
      <c r="B2260">
        <f t="shared" si="67"/>
        <v>-35824.099999999991</v>
      </c>
      <c r="C2260">
        <v>46.96</v>
      </c>
    </row>
    <row r="2261" spans="1:3">
      <c r="A2261">
        <v>74207.95</v>
      </c>
      <c r="B2261">
        <f t="shared" si="67"/>
        <v>38383.850000000006</v>
      </c>
      <c r="C2261">
        <v>456.96</v>
      </c>
    </row>
    <row r="2262" spans="1:3">
      <c r="A2262">
        <v>-74218.97</v>
      </c>
      <c r="B2262">
        <f t="shared" si="67"/>
        <v>-35835.119999999995</v>
      </c>
    </row>
    <row r="2263" spans="1:3">
      <c r="A2263">
        <v>74217.45</v>
      </c>
      <c r="B2263">
        <f t="shared" si="67"/>
        <v>38382.33</v>
      </c>
      <c r="C2263">
        <v>-1.52</v>
      </c>
    </row>
    <row r="2264" spans="1:3">
      <c r="A2264">
        <v>-74132</v>
      </c>
      <c r="B2264">
        <f t="shared" si="67"/>
        <v>-35749.67</v>
      </c>
    </row>
    <row r="2265" spans="1:3">
      <c r="A2265">
        <v>74121.58</v>
      </c>
      <c r="B2265">
        <f t="shared" si="67"/>
        <v>38371.910000000003</v>
      </c>
      <c r="C2265">
        <v>-10.42</v>
      </c>
    </row>
    <row r="2266" spans="1:3">
      <c r="B2266" t="s">
        <v>2</v>
      </c>
      <c r="C2266" s="58">
        <f>SUM(C2244:C2265)</f>
        <v>476.34</v>
      </c>
    </row>
    <row r="2267" spans="1:3">
      <c r="B2267" t="s">
        <v>3</v>
      </c>
      <c r="C2267" s="58">
        <f>+B2265-B2243</f>
        <v>476.34000000000378</v>
      </c>
    </row>
    <row r="2269" spans="1:3">
      <c r="A2269" t="s">
        <v>224</v>
      </c>
      <c r="B2269" t="s">
        <v>5</v>
      </c>
      <c r="C2269" s="58">
        <f>SUMIF(A2244:A2265,"&lt;0")</f>
        <v>-812148.45</v>
      </c>
    </row>
    <row r="2270" spans="1:3">
      <c r="A2270" t="str">
        <f>"SPY " &amp; COUNT(C2244:C2265) * 100 &amp; "股"</f>
        <v>SPY 1100股</v>
      </c>
      <c r="B2270" t="s">
        <v>6</v>
      </c>
      <c r="C2270" s="58">
        <f>SUMIF(A2244:A2265,"&gt;0")</f>
        <v>812624.78999999992</v>
      </c>
    </row>
    <row r="2271" spans="1:3">
      <c r="B2271" t="s">
        <v>7</v>
      </c>
      <c r="C2271" s="58">
        <f>+C2269+C2270</f>
        <v>476.3399999999674</v>
      </c>
    </row>
    <row r="2272" spans="1:3">
      <c r="B2272" t="s">
        <v>8</v>
      </c>
      <c r="C2272" s="45">
        <f>C2271/ABS(C2269)</f>
        <v>5.8651838835617725E-4</v>
      </c>
    </row>
    <row r="2275" spans="1:3">
      <c r="A2275" t="s">
        <v>225</v>
      </c>
      <c r="B2275">
        <v>36410.32</v>
      </c>
      <c r="C2275" t="s">
        <v>1</v>
      </c>
    </row>
    <row r="2276" spans="1:3">
      <c r="A2276">
        <v>-74009</v>
      </c>
      <c r="B2276">
        <f t="shared" ref="B2276:B2301" si="68">+B2275+A2276</f>
        <v>-37598.68</v>
      </c>
    </row>
    <row r="2277" spans="1:3">
      <c r="A2277">
        <v>74005.47</v>
      </c>
      <c r="B2277">
        <f t="shared" si="68"/>
        <v>36406.79</v>
      </c>
      <c r="C2277">
        <v>-3.53</v>
      </c>
    </row>
    <row r="2278" spans="1:3">
      <c r="A2278">
        <v>-73947</v>
      </c>
      <c r="B2278">
        <f t="shared" si="68"/>
        <v>-37540.21</v>
      </c>
    </row>
    <row r="2279" spans="1:3">
      <c r="A2279">
        <v>73990.960000000006</v>
      </c>
      <c r="B2279">
        <f t="shared" si="68"/>
        <v>36450.750000000007</v>
      </c>
      <c r="C2279">
        <v>43.96</v>
      </c>
    </row>
    <row r="2280" spans="1:3">
      <c r="A2280">
        <v>-73953.5</v>
      </c>
      <c r="B2280">
        <f t="shared" si="68"/>
        <v>-37502.749999999993</v>
      </c>
    </row>
    <row r="2281" spans="1:3">
      <c r="A2281">
        <v>73847.960000000006</v>
      </c>
      <c r="B2281">
        <f t="shared" si="68"/>
        <v>36345.210000000014</v>
      </c>
      <c r="C2281">
        <v>-105.54</v>
      </c>
    </row>
    <row r="2282" spans="1:3">
      <c r="A2282">
        <v>-73699.990000000005</v>
      </c>
      <c r="B2282">
        <f t="shared" si="68"/>
        <v>-37354.779999999992</v>
      </c>
    </row>
    <row r="2283" spans="1:3">
      <c r="A2283">
        <v>-73712</v>
      </c>
      <c r="B2283">
        <f t="shared" si="68"/>
        <v>-111066.78</v>
      </c>
    </row>
    <row r="2284" spans="1:3">
      <c r="A2284">
        <v>73757.960000000006</v>
      </c>
      <c r="B2284">
        <f t="shared" si="68"/>
        <v>-37308.819999999992</v>
      </c>
      <c r="C2284">
        <v>45.96</v>
      </c>
    </row>
    <row r="2285" spans="1:3">
      <c r="A2285">
        <v>-73768.990000000005</v>
      </c>
      <c r="B2285">
        <f t="shared" si="68"/>
        <v>-111077.81</v>
      </c>
    </row>
    <row r="2286" spans="1:3">
      <c r="A2286">
        <v>73540.47</v>
      </c>
      <c r="B2286">
        <f t="shared" si="68"/>
        <v>-37537.339999999997</v>
      </c>
      <c r="C2286">
        <v>-228.52</v>
      </c>
    </row>
    <row r="2287" spans="1:3">
      <c r="A2287">
        <v>-73591.600000000006</v>
      </c>
      <c r="B2287">
        <f t="shared" si="68"/>
        <v>-111128.94</v>
      </c>
    </row>
    <row r="2288" spans="1:3">
      <c r="A2288">
        <v>73449.67</v>
      </c>
      <c r="B2288">
        <f t="shared" si="68"/>
        <v>-37679.270000000004</v>
      </c>
      <c r="C2288">
        <v>-141.93</v>
      </c>
    </row>
    <row r="2289" spans="1:3">
      <c r="A2289">
        <v>73527.47</v>
      </c>
      <c r="B2289">
        <f t="shared" si="68"/>
        <v>35848.199999999997</v>
      </c>
      <c r="C2289">
        <v>-172.52</v>
      </c>
    </row>
    <row r="2290" spans="1:3">
      <c r="A2290">
        <v>-73412.5</v>
      </c>
      <c r="B2290">
        <f t="shared" si="68"/>
        <v>-37564.300000000003</v>
      </c>
    </row>
    <row r="2291" spans="1:3">
      <c r="A2291">
        <v>73438.8</v>
      </c>
      <c r="B2291">
        <f t="shared" si="68"/>
        <v>35874.5</v>
      </c>
      <c r="C2291">
        <v>26.3</v>
      </c>
    </row>
    <row r="2292" spans="1:3">
      <c r="A2292">
        <v>-73490.5</v>
      </c>
      <c r="B2292">
        <f t="shared" si="68"/>
        <v>-37616</v>
      </c>
    </row>
    <row r="2293" spans="1:3">
      <c r="A2293">
        <v>73511.47</v>
      </c>
      <c r="B2293">
        <f t="shared" si="68"/>
        <v>35895.47</v>
      </c>
      <c r="C2293">
        <v>20.97</v>
      </c>
    </row>
    <row r="2294" spans="1:3">
      <c r="A2294">
        <v>-73482.5</v>
      </c>
      <c r="B2294">
        <f t="shared" si="68"/>
        <v>-37587.03</v>
      </c>
    </row>
    <row r="2295" spans="1:3">
      <c r="A2295">
        <v>73472.19</v>
      </c>
      <c r="B2295">
        <f t="shared" si="68"/>
        <v>35885.160000000003</v>
      </c>
      <c r="C2295">
        <v>-10.31</v>
      </c>
    </row>
    <row r="2296" spans="1:3">
      <c r="A2296">
        <v>-73512</v>
      </c>
      <c r="B2296">
        <f t="shared" si="68"/>
        <v>-37626.839999999997</v>
      </c>
    </row>
    <row r="2297" spans="1:3">
      <c r="A2297">
        <v>73528.479999999996</v>
      </c>
      <c r="B2297">
        <f t="shared" si="68"/>
        <v>35901.64</v>
      </c>
      <c r="C2297">
        <v>16.48</v>
      </c>
    </row>
    <row r="2298" spans="1:3">
      <c r="A2298">
        <v>-73532.5</v>
      </c>
      <c r="B2298">
        <f t="shared" si="68"/>
        <v>-37630.86</v>
      </c>
    </row>
    <row r="2299" spans="1:3">
      <c r="A2299">
        <v>73536.52</v>
      </c>
      <c r="B2299">
        <f t="shared" si="68"/>
        <v>35905.660000000003</v>
      </c>
      <c r="C2299">
        <v>4.0199999999999996</v>
      </c>
    </row>
    <row r="2300" spans="1:3">
      <c r="A2300">
        <v>-73484.990000000005</v>
      </c>
      <c r="B2300">
        <f t="shared" si="68"/>
        <v>-37579.33</v>
      </c>
    </row>
    <row r="2301" spans="1:3">
      <c r="A2301">
        <v>73475.83</v>
      </c>
      <c r="B2301">
        <f t="shared" si="68"/>
        <v>35896.5</v>
      </c>
      <c r="C2301">
        <v>-9.16</v>
      </c>
    </row>
    <row r="2302" spans="1:3">
      <c r="B2302" t="s">
        <v>2</v>
      </c>
      <c r="C2302" s="58">
        <f>SUM(C2276:C2301)</f>
        <v>-513.81999999999994</v>
      </c>
    </row>
    <row r="2303" spans="1:3">
      <c r="B2303" t="s">
        <v>3</v>
      </c>
      <c r="C2303" s="58">
        <f>+B2301-B2275</f>
        <v>-513.81999999999971</v>
      </c>
    </row>
    <row r="2305" spans="1:3">
      <c r="A2305" t="s">
        <v>226</v>
      </c>
      <c r="B2305" t="s">
        <v>5</v>
      </c>
      <c r="C2305" s="58">
        <f>SUMIF(A2276:A2301,"&lt;0")</f>
        <v>-957597.07</v>
      </c>
    </row>
    <row r="2306" spans="1:3">
      <c r="A2306" t="str">
        <f>"SPY " &amp; COUNT(C2276:C2301) * 100 &amp; "股"</f>
        <v>SPY 1300股</v>
      </c>
      <c r="B2306" t="s">
        <v>6</v>
      </c>
      <c r="C2306" s="58">
        <f>SUMIF(A2276:A2301,"&gt;0")</f>
        <v>957083.25000000012</v>
      </c>
    </row>
    <row r="2307" spans="1:3">
      <c r="B2307" t="s">
        <v>7</v>
      </c>
      <c r="C2307" s="58">
        <f>+C2305+C2306</f>
        <v>-513.81999999983236</v>
      </c>
    </row>
    <row r="2308" spans="1:3">
      <c r="B2308" t="s">
        <v>8</v>
      </c>
      <c r="C2308" s="45">
        <f>C2307/ABS(C2305)</f>
        <v>-5.3657223491695983E-4</v>
      </c>
    </row>
    <row r="2311" spans="1:3">
      <c r="A2311" t="s">
        <v>227</v>
      </c>
      <c r="B2311">
        <v>36886.660000000003</v>
      </c>
      <c r="C2311" t="s">
        <v>1</v>
      </c>
    </row>
    <row r="2312" spans="1:3">
      <c r="A2312">
        <v>73490.48</v>
      </c>
      <c r="B2312">
        <f t="shared" ref="B2312:B2325" si="69">+B2311+A2312</f>
        <v>110377.14</v>
      </c>
    </row>
    <row r="2313" spans="1:3">
      <c r="A2313">
        <v>-73555.5</v>
      </c>
      <c r="B2313">
        <f t="shared" si="69"/>
        <v>36821.64</v>
      </c>
      <c r="C2313">
        <v>-65.02</v>
      </c>
    </row>
    <row r="2314" spans="1:3">
      <c r="A2314">
        <v>73726.960000000006</v>
      </c>
      <c r="B2314">
        <f t="shared" si="69"/>
        <v>110548.6</v>
      </c>
    </row>
    <row r="2315" spans="1:3">
      <c r="A2315">
        <v>-73724.5</v>
      </c>
      <c r="B2315">
        <f t="shared" si="69"/>
        <v>36824.100000000006</v>
      </c>
      <c r="C2315">
        <v>2.46</v>
      </c>
    </row>
    <row r="2316" spans="1:3">
      <c r="A2316">
        <v>-73755.5</v>
      </c>
      <c r="B2316">
        <f t="shared" si="69"/>
        <v>-36931.399999999994</v>
      </c>
    </row>
    <row r="2317" spans="1:3">
      <c r="A2317">
        <v>-73808.5</v>
      </c>
      <c r="B2317">
        <f t="shared" si="69"/>
        <v>-110739.9</v>
      </c>
    </row>
    <row r="2318" spans="1:3">
      <c r="A2318">
        <v>73782.179999999993</v>
      </c>
      <c r="B2318">
        <f t="shared" si="69"/>
        <v>-36957.72</v>
      </c>
      <c r="C2318">
        <v>-26.32</v>
      </c>
    </row>
    <row r="2319" spans="1:3">
      <c r="A2319">
        <v>73745.960000000006</v>
      </c>
      <c r="B2319">
        <f t="shared" si="69"/>
        <v>36788.240000000005</v>
      </c>
      <c r="C2319">
        <v>-9.5399999999999991</v>
      </c>
    </row>
    <row r="2320" spans="1:3">
      <c r="A2320">
        <v>-73545.070000000007</v>
      </c>
      <c r="B2320">
        <f t="shared" si="69"/>
        <v>-36756.83</v>
      </c>
    </row>
    <row r="2321" spans="1:3">
      <c r="A2321">
        <v>-73544.34</v>
      </c>
      <c r="B2321">
        <f t="shared" si="69"/>
        <v>-110301.17</v>
      </c>
    </row>
    <row r="2322" spans="1:3">
      <c r="A2322">
        <v>73517.67</v>
      </c>
      <c r="B2322">
        <f t="shared" si="69"/>
        <v>-36783.5</v>
      </c>
      <c r="C2322">
        <v>-26.67</v>
      </c>
    </row>
    <row r="2323" spans="1:3">
      <c r="A2323">
        <v>73865.460000000006</v>
      </c>
      <c r="B2323">
        <f t="shared" si="69"/>
        <v>37081.960000000006</v>
      </c>
      <c r="C2323">
        <v>320.39</v>
      </c>
    </row>
    <row r="2324" spans="1:3">
      <c r="A2324">
        <v>-73902.990000000005</v>
      </c>
      <c r="B2324">
        <f t="shared" si="69"/>
        <v>-36821.03</v>
      </c>
    </row>
    <row r="2325" spans="1:3">
      <c r="A2325">
        <v>73983.960000000006</v>
      </c>
      <c r="B2325">
        <f t="shared" si="69"/>
        <v>37162.930000000008</v>
      </c>
      <c r="C2325">
        <v>80.97</v>
      </c>
    </row>
    <row r="2326" spans="1:3">
      <c r="B2326" t="s">
        <v>2</v>
      </c>
      <c r="C2326" s="58">
        <f>SUM(C2312:C2325)</f>
        <v>276.27</v>
      </c>
    </row>
    <row r="2327" spans="1:3">
      <c r="B2327" t="s">
        <v>3</v>
      </c>
      <c r="C2327" s="58">
        <f>+B2325-B2311</f>
        <v>276.27000000000407</v>
      </c>
    </row>
    <row r="2329" spans="1:3">
      <c r="A2329" t="s">
        <v>228</v>
      </c>
      <c r="B2329" t="s">
        <v>5</v>
      </c>
      <c r="C2329" s="58">
        <f>SUMIF(A2312:A2325,"&lt;0")</f>
        <v>-515836.4</v>
      </c>
    </row>
    <row r="2330" spans="1:3">
      <c r="A2330" t="str">
        <f>"SPY " &amp; COUNT(C2312:C2325) * 100 &amp; "股"</f>
        <v>SPY 700股</v>
      </c>
      <c r="B2330" t="s">
        <v>6</v>
      </c>
      <c r="C2330" s="58">
        <f>SUMIF(A2312:A2325,"&gt;0")</f>
        <v>516112.67000000004</v>
      </c>
    </row>
    <row r="2331" spans="1:3">
      <c r="B2331" t="s">
        <v>7</v>
      </c>
      <c r="C2331" s="58">
        <f>+C2329+C2330</f>
        <v>276.27000000001863</v>
      </c>
    </row>
    <row r="2332" spans="1:3">
      <c r="B2332" t="s">
        <v>8</v>
      </c>
      <c r="C2332" s="45">
        <f>C2331/ABS(C2329)</f>
        <v>5.3557678364694427E-4</v>
      </c>
    </row>
    <row r="2335" spans="1:3">
      <c r="A2335" t="s">
        <v>229</v>
      </c>
      <c r="B2335">
        <v>40303.85</v>
      </c>
      <c r="C2335" t="s">
        <v>1</v>
      </c>
    </row>
    <row r="2336" spans="1:3">
      <c r="A2336">
        <v>-74242.990000000005</v>
      </c>
      <c r="B2336">
        <f t="shared" ref="B2336:B2353" si="70">+B2335+A2336</f>
        <v>-33939.140000000007</v>
      </c>
    </row>
    <row r="2337" spans="1:3">
      <c r="A2337">
        <v>-73850</v>
      </c>
      <c r="B2337">
        <f t="shared" si="70"/>
        <v>-107789.14000000001</v>
      </c>
    </row>
    <row r="2338" spans="1:3">
      <c r="A2338">
        <v>73859.460000000006</v>
      </c>
      <c r="B2338">
        <f t="shared" si="70"/>
        <v>-33929.680000000008</v>
      </c>
      <c r="C2338">
        <v>9.4600000000000009</v>
      </c>
    </row>
    <row r="2339" spans="1:3">
      <c r="A2339">
        <v>73922.25</v>
      </c>
      <c r="B2339">
        <f t="shared" si="70"/>
        <v>39992.569999999992</v>
      </c>
      <c r="C2339">
        <v>-320.74</v>
      </c>
    </row>
    <row r="2340" spans="1:3">
      <c r="A2340">
        <v>-73901</v>
      </c>
      <c r="B2340">
        <f t="shared" si="70"/>
        <v>-33908.430000000008</v>
      </c>
    </row>
    <row r="2341" spans="1:3">
      <c r="A2341">
        <v>73972.960000000006</v>
      </c>
      <c r="B2341">
        <f t="shared" si="70"/>
        <v>40064.53</v>
      </c>
      <c r="C2341">
        <v>71.959999999999994</v>
      </c>
    </row>
    <row r="2342" spans="1:3">
      <c r="A2342">
        <v>74039.13</v>
      </c>
      <c r="B2342">
        <f t="shared" si="70"/>
        <v>114103.66</v>
      </c>
    </row>
    <row r="2343" spans="1:3">
      <c r="A2343">
        <v>-74041.600000000006</v>
      </c>
      <c r="B2343">
        <f t="shared" si="70"/>
        <v>40062.06</v>
      </c>
      <c r="C2343">
        <v>-2.4700000000000002</v>
      </c>
    </row>
    <row r="2344" spans="1:3">
      <c r="A2344">
        <v>-74103.16</v>
      </c>
      <c r="B2344">
        <f t="shared" si="70"/>
        <v>-34041.100000000006</v>
      </c>
    </row>
    <row r="2345" spans="1:3">
      <c r="A2345">
        <v>74256.95</v>
      </c>
      <c r="B2345">
        <f t="shared" si="70"/>
        <v>40215.849999999991</v>
      </c>
      <c r="C2345">
        <v>153.79</v>
      </c>
    </row>
    <row r="2346" spans="1:3">
      <c r="A2346">
        <v>-74197</v>
      </c>
      <c r="B2346">
        <f t="shared" si="70"/>
        <v>-33981.150000000009</v>
      </c>
    </row>
    <row r="2347" spans="1:3">
      <c r="A2347">
        <v>74175.45</v>
      </c>
      <c r="B2347">
        <f t="shared" si="70"/>
        <v>40194.299999999988</v>
      </c>
      <c r="C2347">
        <v>-21.55</v>
      </c>
    </row>
    <row r="2348" spans="1:3">
      <c r="A2348">
        <v>-74234</v>
      </c>
      <c r="B2348">
        <f t="shared" si="70"/>
        <v>-34039.700000000012</v>
      </c>
    </row>
    <row r="2349" spans="1:3">
      <c r="A2349">
        <v>-74169.87</v>
      </c>
      <c r="B2349">
        <f t="shared" si="70"/>
        <v>-108209.57</v>
      </c>
    </row>
    <row r="2350" spans="1:3">
      <c r="A2350">
        <v>74107.460000000006</v>
      </c>
      <c r="B2350">
        <f t="shared" si="70"/>
        <v>-34102.11</v>
      </c>
      <c r="C2350">
        <v>-62.41</v>
      </c>
    </row>
    <row r="2351" spans="1:3">
      <c r="A2351">
        <v>-74084.92</v>
      </c>
      <c r="B2351">
        <f t="shared" si="70"/>
        <v>-108187.03</v>
      </c>
    </row>
    <row r="2352" spans="1:3">
      <c r="A2352">
        <v>74242.02</v>
      </c>
      <c r="B2352">
        <f t="shared" si="70"/>
        <v>-33945.009999999995</v>
      </c>
      <c r="C2352">
        <v>157.1</v>
      </c>
    </row>
    <row r="2353" spans="1:3">
      <c r="A2353">
        <v>74317.23</v>
      </c>
      <c r="B2353">
        <f t="shared" si="70"/>
        <v>40372.22</v>
      </c>
      <c r="C2353">
        <v>83.23</v>
      </c>
    </row>
    <row r="2354" spans="1:3">
      <c r="B2354" t="s">
        <v>2</v>
      </c>
      <c r="C2354" s="58">
        <f>SUM(C2336:C2353)</f>
        <v>68.369999999999962</v>
      </c>
    </row>
    <row r="2355" spans="1:3">
      <c r="B2355" t="s">
        <v>3</v>
      </c>
      <c r="C2355" s="58">
        <f>+B2353-B2335</f>
        <v>68.370000000002619</v>
      </c>
    </row>
    <row r="2357" spans="1:3">
      <c r="A2357" t="s">
        <v>230</v>
      </c>
      <c r="B2357" t="s">
        <v>5</v>
      </c>
      <c r="C2357" s="58">
        <f>SUMIF(A2336:A2353,"&lt;0")</f>
        <v>-666824.54</v>
      </c>
    </row>
    <row r="2358" spans="1:3">
      <c r="A2358" t="str">
        <f>"SPY " &amp; COUNT(C2336:C2353) * 100 &amp; "股"</f>
        <v>SPY 900股</v>
      </c>
      <c r="B2358" t="s">
        <v>6</v>
      </c>
      <c r="C2358" s="58">
        <f>SUMIF(A2336:A2353,"&gt;0")</f>
        <v>666892.91</v>
      </c>
    </row>
    <row r="2359" spans="1:3">
      <c r="B2359" t="s">
        <v>7</v>
      </c>
      <c r="C2359" s="58">
        <f>+C2357+C2358</f>
        <v>68.369999999995343</v>
      </c>
    </row>
    <row r="2360" spans="1:3">
      <c r="B2360" t="s">
        <v>8</v>
      </c>
      <c r="C2360" s="45">
        <f>C2359/ABS(C2357)</f>
        <v>1.025307197002608E-4</v>
      </c>
    </row>
    <row r="2362" spans="1:3">
      <c r="A2362" t="s">
        <v>79</v>
      </c>
    </row>
    <row r="2363" spans="1:3">
      <c r="A2363" t="s">
        <v>208</v>
      </c>
      <c r="B2363" t="s">
        <v>12</v>
      </c>
      <c r="C2363">
        <f>C2046</f>
        <v>-75360.2</v>
      </c>
    </row>
    <row r="2366" spans="1:3">
      <c r="A2366" t="s">
        <v>231</v>
      </c>
      <c r="B2366" s="33">
        <v>36649.56</v>
      </c>
      <c r="C2366" t="s">
        <v>1</v>
      </c>
    </row>
    <row r="2367" spans="1:3">
      <c r="A2367">
        <v>75003.429999999993</v>
      </c>
      <c r="B2367">
        <f>+B2366+A2367</f>
        <v>111652.98999999999</v>
      </c>
    </row>
    <row r="2368" spans="1:3">
      <c r="B2368" t="s">
        <v>2</v>
      </c>
      <c r="C2368">
        <f>SUM(C2367:C2367)</f>
        <v>0</v>
      </c>
    </row>
    <row r="2369" spans="1:3">
      <c r="B2369" t="s">
        <v>3</v>
      </c>
      <c r="C2369">
        <f>+B2367-B2366-A2367</f>
        <v>0</v>
      </c>
    </row>
    <row r="2371" spans="1:3">
      <c r="A2371" t="s">
        <v>208</v>
      </c>
      <c r="B2371" t="s">
        <v>12</v>
      </c>
      <c r="C2371" s="58">
        <v>-75360.2</v>
      </c>
    </row>
    <row r="2372" spans="1:3">
      <c r="A2372" t="s">
        <v>232</v>
      </c>
      <c r="B2372" t="s">
        <v>233</v>
      </c>
      <c r="C2372" s="63">
        <v>75003.429999999993</v>
      </c>
    </row>
    <row r="2373" spans="1:3">
      <c r="B2373" t="s">
        <v>234</v>
      </c>
      <c r="C2373" s="58">
        <f>C2371+C2372</f>
        <v>-356.77000000000407</v>
      </c>
    </row>
    <row r="2374" spans="1:3">
      <c r="B2374" t="s">
        <v>235</v>
      </c>
      <c r="C2374" s="45">
        <f>C2373/ABS(C2371)</f>
        <v>-4.7341965652957941E-3</v>
      </c>
    </row>
    <row r="2377" spans="1:3">
      <c r="A2377" t="s">
        <v>236</v>
      </c>
      <c r="B2377">
        <v>36135.74</v>
      </c>
      <c r="C2377" t="s">
        <v>1</v>
      </c>
    </row>
    <row r="2378" spans="1:3">
      <c r="A2378">
        <v>-76301.960000000006</v>
      </c>
      <c r="B2378">
        <f t="shared" ref="B2378:B2389" si="71">+B2377+A2378</f>
        <v>-40166.220000000008</v>
      </c>
    </row>
    <row r="2379" spans="1:3">
      <c r="A2379">
        <v>76324.41</v>
      </c>
      <c r="B2379">
        <f t="shared" si="71"/>
        <v>36158.189999999995</v>
      </c>
      <c r="C2379">
        <v>22.45</v>
      </c>
    </row>
    <row r="2380" spans="1:3">
      <c r="A2380">
        <v>-76403</v>
      </c>
      <c r="B2380">
        <f t="shared" si="71"/>
        <v>-40244.810000000005</v>
      </c>
    </row>
    <row r="2381" spans="1:3">
      <c r="A2381">
        <v>76389.42</v>
      </c>
      <c r="B2381">
        <f t="shared" si="71"/>
        <v>36144.609999999993</v>
      </c>
      <c r="C2381">
        <v>-13.58</v>
      </c>
    </row>
    <row r="2382" spans="1:3">
      <c r="A2382">
        <v>-76423</v>
      </c>
      <c r="B2382">
        <f t="shared" si="71"/>
        <v>-40278.390000000007</v>
      </c>
    </row>
    <row r="2383" spans="1:3">
      <c r="A2383">
        <v>76438.42</v>
      </c>
      <c r="B2383">
        <f t="shared" si="71"/>
        <v>36160.029999999992</v>
      </c>
      <c r="C2383">
        <v>15.42</v>
      </c>
    </row>
    <row r="2384" spans="1:3">
      <c r="A2384">
        <v>-76501</v>
      </c>
      <c r="B2384">
        <f t="shared" si="71"/>
        <v>-40340.970000000008</v>
      </c>
    </row>
    <row r="2385" spans="1:3">
      <c r="A2385">
        <v>76424.42</v>
      </c>
      <c r="B2385">
        <f t="shared" si="71"/>
        <v>36083.44999999999</v>
      </c>
      <c r="C2385">
        <v>-76.58</v>
      </c>
    </row>
    <row r="2386" spans="1:3">
      <c r="A2386">
        <v>-76454.990000000005</v>
      </c>
      <c r="B2386">
        <f t="shared" si="71"/>
        <v>-40371.540000000015</v>
      </c>
    </row>
    <row r="2387" spans="1:3">
      <c r="A2387">
        <v>76525.119999999995</v>
      </c>
      <c r="B2387">
        <f t="shared" si="71"/>
        <v>36153.57999999998</v>
      </c>
      <c r="C2387">
        <v>70.13</v>
      </c>
    </row>
    <row r="2388" spans="1:3">
      <c r="A2388">
        <v>-76790</v>
      </c>
      <c r="B2388">
        <f t="shared" si="71"/>
        <v>-40636.42000000002</v>
      </c>
    </row>
    <row r="2389" spans="1:3">
      <c r="A2389">
        <v>76810.399999999994</v>
      </c>
      <c r="B2389">
        <f t="shared" si="71"/>
        <v>36173.979999999974</v>
      </c>
      <c r="C2389">
        <v>20.399999999999999</v>
      </c>
    </row>
    <row r="2390" spans="1:3">
      <c r="B2390" t="s">
        <v>2</v>
      </c>
      <c r="C2390" s="58">
        <f>SUM(C2378:C2389)</f>
        <v>38.239999999999995</v>
      </c>
    </row>
    <row r="2391" spans="1:3">
      <c r="B2391" t="s">
        <v>3</v>
      </c>
      <c r="C2391" s="58">
        <f>+B2389-B2377</f>
        <v>38.239999999976135</v>
      </c>
    </row>
    <row r="2393" spans="1:3">
      <c r="A2393" t="s">
        <v>237</v>
      </c>
      <c r="B2393" t="s">
        <v>5</v>
      </c>
      <c r="C2393" s="58">
        <f>SUMIF(A2378:A2389,"&lt;0")</f>
        <v>-458873.95</v>
      </c>
    </row>
    <row r="2394" spans="1:3">
      <c r="A2394" t="str">
        <f>"SPY " &amp; COUNT(C2378:C2389) * 100 &amp; "股"</f>
        <v>SPY 600股</v>
      </c>
      <c r="B2394" t="s">
        <v>6</v>
      </c>
      <c r="C2394" s="58">
        <f>SUMIF(A2378:A2389,"&gt;0")</f>
        <v>458912.18999999994</v>
      </c>
    </row>
    <row r="2395" spans="1:3">
      <c r="B2395" t="s">
        <v>7</v>
      </c>
      <c r="C2395" s="58">
        <f>+C2393+C2394</f>
        <v>38.239999999932479</v>
      </c>
    </row>
    <row r="2396" spans="1:3">
      <c r="B2396" t="s">
        <v>8</v>
      </c>
      <c r="C2396" s="45">
        <f>C2395/ABS(C2393)</f>
        <v>8.3334432037234803E-5</v>
      </c>
    </row>
    <row r="2399" spans="1:3">
      <c r="A2399" t="s">
        <v>238</v>
      </c>
      <c r="B2399">
        <v>115851.99</v>
      </c>
      <c r="C2399" t="s">
        <v>1</v>
      </c>
    </row>
    <row r="2400" spans="1:3">
      <c r="A2400">
        <v>77589.16</v>
      </c>
      <c r="B2400">
        <f t="shared" ref="B2400:B2423" si="72">+B2399+A2400</f>
        <v>193441.15000000002</v>
      </c>
    </row>
    <row r="2401" spans="1:3">
      <c r="A2401">
        <v>-77579</v>
      </c>
      <c r="B2401">
        <f t="shared" si="72"/>
        <v>115862.15000000002</v>
      </c>
      <c r="C2401">
        <v>10.16</v>
      </c>
    </row>
    <row r="2402" spans="1:3">
      <c r="A2402">
        <v>77484.88</v>
      </c>
      <c r="B2402">
        <f t="shared" si="72"/>
        <v>193347.03000000003</v>
      </c>
    </row>
    <row r="2403" spans="1:3">
      <c r="A2403">
        <v>-77558.990000000005</v>
      </c>
      <c r="B2403">
        <f t="shared" si="72"/>
        <v>115788.04000000002</v>
      </c>
      <c r="C2403">
        <v>-74.11</v>
      </c>
    </row>
    <row r="2404" spans="1:3">
      <c r="A2404">
        <v>77438.880000000005</v>
      </c>
      <c r="B2404">
        <f t="shared" si="72"/>
        <v>193226.92000000004</v>
      </c>
    </row>
    <row r="2405" spans="1:3">
      <c r="A2405">
        <v>-77439</v>
      </c>
      <c r="B2405">
        <f t="shared" si="72"/>
        <v>115787.92000000004</v>
      </c>
      <c r="C2405">
        <v>-0.12</v>
      </c>
    </row>
    <row r="2406" spans="1:3">
      <c r="A2406">
        <v>77456.38</v>
      </c>
      <c r="B2406">
        <f t="shared" si="72"/>
        <v>193244.30000000005</v>
      </c>
    </row>
    <row r="2407" spans="1:3">
      <c r="A2407">
        <v>-77473.5</v>
      </c>
      <c r="B2407">
        <f t="shared" si="72"/>
        <v>115770.80000000005</v>
      </c>
      <c r="C2407">
        <v>-17.12</v>
      </c>
    </row>
    <row r="2408" spans="1:3">
      <c r="A2408">
        <v>-77442.5</v>
      </c>
      <c r="B2408">
        <f t="shared" si="72"/>
        <v>38328.300000000047</v>
      </c>
    </row>
    <row r="2409" spans="1:3">
      <c r="A2409">
        <v>77462.39</v>
      </c>
      <c r="B2409">
        <f t="shared" si="72"/>
        <v>115790.69000000005</v>
      </c>
      <c r="C2409">
        <v>19.89</v>
      </c>
    </row>
    <row r="2410" spans="1:3">
      <c r="A2410">
        <v>77275.899999999994</v>
      </c>
      <c r="B2410">
        <f t="shared" si="72"/>
        <v>193066.59000000003</v>
      </c>
    </row>
    <row r="2411" spans="1:3">
      <c r="A2411">
        <v>-77289</v>
      </c>
      <c r="B2411">
        <f t="shared" si="72"/>
        <v>115777.59000000003</v>
      </c>
      <c r="C2411">
        <v>-13.1</v>
      </c>
    </row>
    <row r="2412" spans="1:3">
      <c r="A2412">
        <v>77345.429999999993</v>
      </c>
      <c r="B2412">
        <f t="shared" si="72"/>
        <v>193123.02000000002</v>
      </c>
    </row>
    <row r="2413" spans="1:3">
      <c r="A2413">
        <v>-77315.5</v>
      </c>
      <c r="B2413">
        <f t="shared" si="72"/>
        <v>115807.52000000002</v>
      </c>
      <c r="C2413">
        <v>29.93</v>
      </c>
    </row>
    <row r="2414" spans="1:3">
      <c r="A2414">
        <v>-77385.5</v>
      </c>
      <c r="B2414">
        <f t="shared" si="72"/>
        <v>38422.020000000019</v>
      </c>
    </row>
    <row r="2415" spans="1:3">
      <c r="A2415">
        <v>77366.47</v>
      </c>
      <c r="B2415">
        <f t="shared" si="72"/>
        <v>115788.49000000002</v>
      </c>
      <c r="C2415">
        <v>-19.03</v>
      </c>
    </row>
    <row r="2416" spans="1:3">
      <c r="A2416">
        <v>77312.929999999993</v>
      </c>
      <c r="B2416">
        <f t="shared" si="72"/>
        <v>193101.42</v>
      </c>
    </row>
    <row r="2417" spans="1:3">
      <c r="A2417">
        <v>-77305</v>
      </c>
      <c r="B2417">
        <f t="shared" si="72"/>
        <v>115796.42000000001</v>
      </c>
      <c r="C2417">
        <v>7.93</v>
      </c>
    </row>
    <row r="2418" spans="1:3">
      <c r="A2418">
        <v>77256.39</v>
      </c>
      <c r="B2418">
        <f t="shared" si="72"/>
        <v>193052.81</v>
      </c>
    </row>
    <row r="2419" spans="1:3">
      <c r="A2419">
        <v>-77242.5</v>
      </c>
      <c r="B2419">
        <f t="shared" si="72"/>
        <v>115810.31</v>
      </c>
      <c r="C2419">
        <v>13.89</v>
      </c>
    </row>
    <row r="2420" spans="1:3">
      <c r="A2420">
        <v>77246.89</v>
      </c>
      <c r="B2420">
        <f t="shared" si="72"/>
        <v>193057.2</v>
      </c>
    </row>
    <row r="2421" spans="1:3">
      <c r="A2421">
        <v>-77225.5</v>
      </c>
      <c r="B2421">
        <f t="shared" si="72"/>
        <v>115831.70000000001</v>
      </c>
      <c r="C2421">
        <v>21.39</v>
      </c>
    </row>
    <row r="2422" spans="1:3">
      <c r="A2422">
        <v>77185.95</v>
      </c>
      <c r="B2422">
        <f t="shared" si="72"/>
        <v>193017.65000000002</v>
      </c>
    </row>
    <row r="2423" spans="1:3">
      <c r="A2423">
        <v>-77175.899999999994</v>
      </c>
      <c r="B2423">
        <f t="shared" si="72"/>
        <v>115841.75000000003</v>
      </c>
      <c r="C2423">
        <v>10.050000000000001</v>
      </c>
    </row>
    <row r="2424" spans="1:3">
      <c r="B2424" t="s">
        <v>2</v>
      </c>
      <c r="C2424" s="58">
        <f>SUM(C2400:C2423)</f>
        <v>-10.240000000000006</v>
      </c>
    </row>
    <row r="2425" spans="1:3">
      <c r="B2425" t="s">
        <v>3</v>
      </c>
      <c r="C2425" s="58">
        <f>+B2423-B2399</f>
        <v>-10.239999999976135</v>
      </c>
    </row>
    <row r="2427" spans="1:3">
      <c r="A2427" t="s">
        <v>239</v>
      </c>
      <c r="B2427" t="s">
        <v>5</v>
      </c>
      <c r="C2427" s="58">
        <f>SUMIF(A2400:A2423,"&lt;0")</f>
        <v>-928431.89</v>
      </c>
    </row>
    <row r="2428" spans="1:3">
      <c r="A2428" t="str">
        <f>"SPY " &amp; COUNT(C2400:C2423) * 100 &amp; "股"</f>
        <v>SPY 1200股</v>
      </c>
      <c r="B2428" t="s">
        <v>6</v>
      </c>
      <c r="C2428" s="58">
        <f>SUMIF(A2400:A2423,"&gt;0")</f>
        <v>928421.64999999991</v>
      </c>
    </row>
    <row r="2429" spans="1:3">
      <c r="B2429" t="s">
        <v>7</v>
      </c>
      <c r="C2429" s="58">
        <f>+C2427+C2428</f>
        <v>-10.240000000107102</v>
      </c>
    </row>
    <row r="2430" spans="1:3">
      <c r="B2430" t="s">
        <v>8</v>
      </c>
      <c r="C2430" s="45">
        <f>C2429/ABS(C2427)</f>
        <v>-1.1029349713641462E-5</v>
      </c>
    </row>
    <row r="2433" spans="1:3">
      <c r="A2433" t="s">
        <v>240</v>
      </c>
      <c r="B2433">
        <v>115890.23</v>
      </c>
      <c r="C2433" t="s">
        <v>1</v>
      </c>
    </row>
    <row r="2434" spans="1:3">
      <c r="A2434">
        <v>-77133.5</v>
      </c>
      <c r="B2434">
        <f t="shared" ref="B2434:B2467" si="73">+B2433+A2434</f>
        <v>38756.729999999996</v>
      </c>
    </row>
    <row r="2435" spans="1:3">
      <c r="A2435">
        <v>77143.399999999994</v>
      </c>
      <c r="B2435">
        <f t="shared" si="73"/>
        <v>115900.12999999999</v>
      </c>
      <c r="C2435">
        <v>9.9</v>
      </c>
    </row>
    <row r="2436" spans="1:3">
      <c r="A2436">
        <v>-77151.95</v>
      </c>
      <c r="B2436">
        <f t="shared" si="73"/>
        <v>38748.179999999993</v>
      </c>
    </row>
    <row r="2437" spans="1:3">
      <c r="A2437">
        <v>77156.89</v>
      </c>
      <c r="B2437">
        <f t="shared" si="73"/>
        <v>115905.06999999999</v>
      </c>
      <c r="C2437">
        <v>4.9400000000000004</v>
      </c>
    </row>
    <row r="2438" spans="1:3">
      <c r="A2438">
        <v>-77156.899999999994</v>
      </c>
      <c r="B2438">
        <f t="shared" si="73"/>
        <v>38748.17</v>
      </c>
    </row>
    <row r="2439" spans="1:3">
      <c r="A2439">
        <v>77174.399999999994</v>
      </c>
      <c r="B2439">
        <f t="shared" si="73"/>
        <v>115922.56999999999</v>
      </c>
      <c r="C2439">
        <v>17.5</v>
      </c>
    </row>
    <row r="2440" spans="1:3">
      <c r="A2440">
        <v>-77175.5</v>
      </c>
      <c r="B2440">
        <f t="shared" si="73"/>
        <v>38747.069999999992</v>
      </c>
    </row>
    <row r="2441" spans="1:3">
      <c r="A2441">
        <v>77035.89</v>
      </c>
      <c r="B2441">
        <f t="shared" si="73"/>
        <v>115782.95999999999</v>
      </c>
      <c r="C2441">
        <v>-139.61000000000001</v>
      </c>
    </row>
    <row r="2442" spans="1:3">
      <c r="A2442">
        <v>-77030</v>
      </c>
      <c r="B2442">
        <f t="shared" si="73"/>
        <v>38752.959999999992</v>
      </c>
    </row>
    <row r="2443" spans="1:3">
      <c r="A2443">
        <v>77044.89</v>
      </c>
      <c r="B2443">
        <f t="shared" si="73"/>
        <v>115797.84999999999</v>
      </c>
      <c r="C2443">
        <v>14.89</v>
      </c>
    </row>
    <row r="2444" spans="1:3">
      <c r="A2444">
        <v>-77078.5</v>
      </c>
      <c r="B2444">
        <f t="shared" si="73"/>
        <v>38719.349999999991</v>
      </c>
    </row>
    <row r="2445" spans="1:3">
      <c r="A2445">
        <v>77078.89</v>
      </c>
      <c r="B2445">
        <f t="shared" si="73"/>
        <v>115798.23999999999</v>
      </c>
      <c r="C2445">
        <v>0.39</v>
      </c>
    </row>
    <row r="2446" spans="1:3">
      <c r="A2446">
        <v>77049.2</v>
      </c>
      <c r="B2446">
        <f t="shared" si="73"/>
        <v>192847.44</v>
      </c>
    </row>
    <row r="2447" spans="1:3">
      <c r="A2447">
        <v>-76986.600000000006</v>
      </c>
      <c r="B2447">
        <f t="shared" si="73"/>
        <v>115860.84</v>
      </c>
      <c r="C2447">
        <v>62.6</v>
      </c>
    </row>
    <row r="2448" spans="1:3">
      <c r="A2448">
        <v>76983.89</v>
      </c>
      <c r="B2448">
        <f t="shared" si="73"/>
        <v>192844.72999999998</v>
      </c>
    </row>
    <row r="2449" spans="1:3">
      <c r="A2449">
        <v>-76981.990000000005</v>
      </c>
      <c r="B2449">
        <f t="shared" si="73"/>
        <v>115862.73999999998</v>
      </c>
      <c r="C2449">
        <v>1.9</v>
      </c>
    </row>
    <row r="2450" spans="1:3">
      <c r="A2450">
        <v>77000.39</v>
      </c>
      <c r="B2450">
        <f t="shared" si="73"/>
        <v>192863.12999999998</v>
      </c>
    </row>
    <row r="2451" spans="1:3">
      <c r="A2451">
        <v>-77040.5</v>
      </c>
      <c r="B2451">
        <f t="shared" si="73"/>
        <v>115822.62999999998</v>
      </c>
      <c r="C2451">
        <v>-40.11</v>
      </c>
    </row>
    <row r="2452" spans="1:3">
      <c r="A2452">
        <v>77042.89</v>
      </c>
      <c r="B2452">
        <f t="shared" si="73"/>
        <v>192865.51999999996</v>
      </c>
    </row>
    <row r="2453" spans="1:3">
      <c r="A2453">
        <v>-77032.899999999994</v>
      </c>
      <c r="B2453">
        <f t="shared" si="73"/>
        <v>115832.61999999997</v>
      </c>
      <c r="C2453">
        <v>9.99</v>
      </c>
    </row>
    <row r="2454" spans="1:3">
      <c r="A2454">
        <v>77082.89</v>
      </c>
      <c r="B2454">
        <f t="shared" si="73"/>
        <v>192915.50999999995</v>
      </c>
    </row>
    <row r="2455" spans="1:3">
      <c r="A2455">
        <v>-77090</v>
      </c>
      <c r="B2455">
        <f t="shared" si="73"/>
        <v>115825.50999999995</v>
      </c>
      <c r="C2455">
        <v>-7.11</v>
      </c>
    </row>
    <row r="2456" spans="1:3">
      <c r="A2456">
        <v>-77030.61</v>
      </c>
      <c r="B2456">
        <f t="shared" si="73"/>
        <v>38794.899999999951</v>
      </c>
    </row>
    <row r="2457" spans="1:3">
      <c r="A2457">
        <v>77039.09</v>
      </c>
      <c r="B2457">
        <f t="shared" si="73"/>
        <v>115833.98999999995</v>
      </c>
      <c r="C2457">
        <v>8.48</v>
      </c>
    </row>
    <row r="2458" spans="1:3">
      <c r="A2458">
        <v>-77050.95</v>
      </c>
      <c r="B2458">
        <f t="shared" si="73"/>
        <v>38783.03999999995</v>
      </c>
    </row>
    <row r="2459" spans="1:3">
      <c r="A2459">
        <v>77076.59</v>
      </c>
      <c r="B2459">
        <f t="shared" si="73"/>
        <v>115859.62999999995</v>
      </c>
      <c r="C2459">
        <v>25.64</v>
      </c>
    </row>
    <row r="2460" spans="1:3">
      <c r="A2460">
        <v>-77056</v>
      </c>
      <c r="B2460">
        <f t="shared" si="73"/>
        <v>38803.629999999946</v>
      </c>
    </row>
    <row r="2461" spans="1:3">
      <c r="A2461">
        <v>77054.39</v>
      </c>
      <c r="B2461">
        <f t="shared" si="73"/>
        <v>115858.01999999995</v>
      </c>
      <c r="C2461">
        <v>-1.61</v>
      </c>
    </row>
    <row r="2462" spans="1:3">
      <c r="A2462">
        <v>-77004.899999999994</v>
      </c>
      <c r="B2462">
        <f t="shared" si="73"/>
        <v>38853.119999999952</v>
      </c>
    </row>
    <row r="2463" spans="1:3">
      <c r="A2463">
        <v>76956.89</v>
      </c>
      <c r="B2463">
        <f t="shared" si="73"/>
        <v>115810.00999999995</v>
      </c>
      <c r="C2463">
        <v>-48.01</v>
      </c>
    </row>
    <row r="2464" spans="1:3">
      <c r="A2464">
        <v>-76930.5</v>
      </c>
      <c r="B2464">
        <f t="shared" si="73"/>
        <v>38879.509999999951</v>
      </c>
    </row>
    <row r="2465" spans="1:3">
      <c r="A2465">
        <v>76826.399999999994</v>
      </c>
      <c r="B2465">
        <f t="shared" si="73"/>
        <v>115705.90999999995</v>
      </c>
      <c r="C2465">
        <v>-104.1</v>
      </c>
    </row>
    <row r="2466" spans="1:3">
      <c r="A2466">
        <v>-76825.5</v>
      </c>
      <c r="B2466">
        <f t="shared" si="73"/>
        <v>38880.409999999945</v>
      </c>
    </row>
    <row r="2467" spans="1:3">
      <c r="A2467">
        <v>76820.41</v>
      </c>
      <c r="B2467">
        <f t="shared" si="73"/>
        <v>115700.81999999995</v>
      </c>
      <c r="C2467">
        <v>-5.09</v>
      </c>
    </row>
    <row r="2468" spans="1:3">
      <c r="B2468" t="s">
        <v>2</v>
      </c>
      <c r="C2468" s="58">
        <f>SUM(C2434:C2467)</f>
        <v>-189.41</v>
      </c>
    </row>
    <row r="2469" spans="1:3">
      <c r="B2469" t="s">
        <v>3</v>
      </c>
      <c r="C2469" s="58">
        <f>+B2467-B2433</f>
        <v>-189.41000000004715</v>
      </c>
    </row>
    <row r="2471" spans="1:3">
      <c r="A2471" t="s">
        <v>241</v>
      </c>
      <c r="B2471" t="s">
        <v>5</v>
      </c>
      <c r="C2471" s="58">
        <f>SUMIF(A2434:A2467,"&lt;0")</f>
        <v>-1309756.7999999998</v>
      </c>
    </row>
    <row r="2472" spans="1:3">
      <c r="A2472" t="str">
        <f>"SPY " &amp; COUNT(C2434:C2467) * 100 &amp; "股"</f>
        <v>SPY 1700股</v>
      </c>
      <c r="B2472" t="s">
        <v>6</v>
      </c>
      <c r="C2472" s="58">
        <f>SUMIF(A2434:A2467,"&gt;0")</f>
        <v>1309567.3899999997</v>
      </c>
    </row>
    <row r="2473" spans="1:3">
      <c r="B2473" t="s">
        <v>7</v>
      </c>
      <c r="C2473" s="58">
        <f>+C2471+C2472</f>
        <v>-189.41000000014901</v>
      </c>
    </row>
    <row r="2474" spans="1:3">
      <c r="B2474" t="s">
        <v>8</v>
      </c>
      <c r="C2474" s="45">
        <f>C2473/ABS(C2471)</f>
        <v>-1.4461463380083161E-4</v>
      </c>
    </row>
  </sheetData>
  <phoneticPr fontId="3" type="noConversion"/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6.5"/>
  <sheetData/>
  <phoneticPr fontId="3" type="noConversion"/>
  <pageMargins left="0.7" right="0.7" top="0.75" bottom="0.75" header="0.3" footer="0.3"/>
  <pageSetup paperSize="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3"/>
  <sheetViews>
    <sheetView topLeftCell="A13" workbookViewId="0">
      <selection activeCell="B31" sqref="B31:C31"/>
    </sheetView>
  </sheetViews>
  <sheetFormatPr defaultRowHeight="16.5"/>
  <cols>
    <col min="1" max="1" width="18.75" style="44" customWidth="1"/>
  </cols>
  <sheetData>
    <row r="1" spans="1:3" ht="17.25" customHeight="1" thickBot="1">
      <c r="A1" s="34" t="s">
        <v>242</v>
      </c>
      <c r="B1" s="34" t="s">
        <v>7</v>
      </c>
      <c r="C1" s="35" t="s">
        <v>243</v>
      </c>
    </row>
    <row r="2" spans="1:3">
      <c r="A2" s="64">
        <v>46147</v>
      </c>
      <c r="B2" s="41">
        <v>286.24</v>
      </c>
      <c r="C2" s="41">
        <v>286.24</v>
      </c>
    </row>
    <row r="3" spans="1:3">
      <c r="A3" s="64">
        <v>46149</v>
      </c>
      <c r="B3" s="41">
        <v>55.02</v>
      </c>
      <c r="C3" s="41">
        <f t="shared" ref="C3:C34" si="0">C2+B3</f>
        <v>341.26</v>
      </c>
    </row>
    <row r="4" spans="1:3">
      <c r="A4" s="64">
        <v>46150</v>
      </c>
      <c r="B4" s="41">
        <v>388.37</v>
      </c>
      <c r="C4" s="41">
        <f t="shared" si="0"/>
        <v>729.63</v>
      </c>
    </row>
    <row r="5" spans="1:3">
      <c r="A5" s="64">
        <v>46153</v>
      </c>
      <c r="B5" s="41">
        <v>-23.13000000000466</v>
      </c>
      <c r="C5" s="41">
        <f t="shared" si="0"/>
        <v>706.49999999999534</v>
      </c>
    </row>
    <row r="6" spans="1:3">
      <c r="A6" s="64">
        <v>46154</v>
      </c>
      <c r="B6" s="41">
        <v>85.490000000019791</v>
      </c>
      <c r="C6" s="41">
        <f t="shared" si="0"/>
        <v>791.99000000001513</v>
      </c>
    </row>
    <row r="7" spans="1:3">
      <c r="A7" s="64">
        <v>46155</v>
      </c>
      <c r="B7" s="41">
        <v>863.68000000002212</v>
      </c>
      <c r="C7" s="41">
        <f t="shared" si="0"/>
        <v>1655.6700000000374</v>
      </c>
    </row>
    <row r="8" spans="1:3">
      <c r="A8" s="64">
        <v>46156</v>
      </c>
      <c r="B8" s="41">
        <v>11.460000000020949</v>
      </c>
      <c r="C8" s="41">
        <f t="shared" si="0"/>
        <v>1667.1300000000583</v>
      </c>
    </row>
    <row r="9" spans="1:3">
      <c r="A9" s="64">
        <v>46157</v>
      </c>
      <c r="B9" s="41">
        <v>98.9</v>
      </c>
      <c r="C9" s="41">
        <f t="shared" si="0"/>
        <v>1766.0300000000584</v>
      </c>
    </row>
    <row r="10" spans="1:3">
      <c r="A10" s="64">
        <v>46160</v>
      </c>
      <c r="B10" s="41">
        <v>-141.06999999997791</v>
      </c>
      <c r="C10" s="41">
        <f t="shared" si="0"/>
        <v>1624.9600000000805</v>
      </c>
    </row>
    <row r="11" spans="1:3">
      <c r="A11" s="64">
        <v>46161</v>
      </c>
      <c r="B11" s="41">
        <v>-63.03000000002794</v>
      </c>
      <c r="C11" s="41">
        <f t="shared" si="0"/>
        <v>1561.9300000000526</v>
      </c>
    </row>
    <row r="12" spans="1:3">
      <c r="A12" s="64">
        <v>46162</v>
      </c>
      <c r="B12">
        <v>433.48</v>
      </c>
      <c r="C12">
        <f t="shared" si="0"/>
        <v>1995.4100000000526</v>
      </c>
    </row>
    <row r="13" spans="1:3">
      <c r="A13" s="64">
        <v>46163</v>
      </c>
      <c r="B13">
        <v>3.8</v>
      </c>
      <c r="C13">
        <f t="shared" si="0"/>
        <v>1999.2100000000526</v>
      </c>
    </row>
    <row r="14" spans="1:3">
      <c r="A14" s="64">
        <v>46164</v>
      </c>
      <c r="B14">
        <v>1251.74</v>
      </c>
      <c r="C14">
        <f t="shared" si="0"/>
        <v>3250.9500000000526</v>
      </c>
    </row>
    <row r="15" spans="1:3">
      <c r="A15" s="64">
        <v>46168</v>
      </c>
      <c r="B15">
        <v>31.71</v>
      </c>
      <c r="C15">
        <f t="shared" si="0"/>
        <v>3282.6600000000526</v>
      </c>
    </row>
    <row r="16" spans="1:3">
      <c r="A16" s="64">
        <v>46169</v>
      </c>
      <c r="B16">
        <v>39.270000000000003</v>
      </c>
      <c r="C16">
        <f t="shared" si="0"/>
        <v>3321.9300000000526</v>
      </c>
    </row>
    <row r="17" spans="1:3">
      <c r="A17" s="64">
        <v>46170</v>
      </c>
      <c r="B17">
        <v>350.39</v>
      </c>
      <c r="C17">
        <f t="shared" si="0"/>
        <v>3672.3200000000525</v>
      </c>
    </row>
    <row r="18" spans="1:3">
      <c r="A18" s="64">
        <v>46171</v>
      </c>
      <c r="B18">
        <v>92.37</v>
      </c>
      <c r="C18">
        <f t="shared" si="0"/>
        <v>3764.6900000000524</v>
      </c>
    </row>
    <row r="19" spans="1:3">
      <c r="A19" s="64">
        <v>46176</v>
      </c>
      <c r="B19">
        <v>160.87</v>
      </c>
      <c r="C19">
        <f t="shared" si="0"/>
        <v>3925.5600000000522</v>
      </c>
    </row>
    <row r="20" spans="1:3">
      <c r="A20" s="64">
        <v>46177</v>
      </c>
      <c r="B20">
        <v>185.85</v>
      </c>
      <c r="C20">
        <f t="shared" si="0"/>
        <v>4111.4100000000526</v>
      </c>
    </row>
    <row r="21" spans="1:3">
      <c r="A21" s="64">
        <v>46178</v>
      </c>
      <c r="B21">
        <v>83.72</v>
      </c>
      <c r="C21">
        <f t="shared" si="0"/>
        <v>4195.1300000000529</v>
      </c>
    </row>
    <row r="22" spans="1:3">
      <c r="A22" s="64">
        <v>46181</v>
      </c>
      <c r="B22">
        <v>-132.51</v>
      </c>
      <c r="C22">
        <f t="shared" si="0"/>
        <v>4062.6200000000526</v>
      </c>
    </row>
    <row r="23" spans="1:3">
      <c r="A23" s="64">
        <v>46182</v>
      </c>
      <c r="B23">
        <v>-253.05</v>
      </c>
      <c r="C23">
        <f t="shared" si="0"/>
        <v>3809.5700000000525</v>
      </c>
    </row>
    <row r="24" spans="1:3">
      <c r="A24" s="65">
        <v>46183</v>
      </c>
      <c r="B24">
        <v>195.65</v>
      </c>
      <c r="C24">
        <f t="shared" si="0"/>
        <v>4005.2200000000526</v>
      </c>
    </row>
    <row r="25" spans="1:3">
      <c r="A25" s="65">
        <v>46184</v>
      </c>
      <c r="B25">
        <v>490.94</v>
      </c>
      <c r="C25">
        <f t="shared" si="0"/>
        <v>4496.1600000000526</v>
      </c>
    </row>
    <row r="26" spans="1:3">
      <c r="A26" s="65">
        <v>46185</v>
      </c>
      <c r="B26">
        <v>174.42</v>
      </c>
      <c r="C26">
        <f t="shared" si="0"/>
        <v>4670.5800000000527</v>
      </c>
    </row>
    <row r="27" spans="1:3">
      <c r="A27" s="65">
        <v>46188</v>
      </c>
      <c r="B27">
        <v>4117.87</v>
      </c>
      <c r="C27">
        <f t="shared" si="0"/>
        <v>8788.4500000000517</v>
      </c>
    </row>
    <row r="28" spans="1:3">
      <c r="A28" s="65">
        <v>46189</v>
      </c>
      <c r="B28">
        <v>-42.35</v>
      </c>
      <c r="C28">
        <f t="shared" si="0"/>
        <v>8746.1000000000513</v>
      </c>
    </row>
    <row r="29" spans="1:3">
      <c r="A29" s="65">
        <v>46190</v>
      </c>
      <c r="B29">
        <v>-81.77</v>
      </c>
      <c r="C29">
        <f t="shared" si="0"/>
        <v>8664.3300000000509</v>
      </c>
    </row>
    <row r="30" spans="1:3">
      <c r="A30" s="65">
        <v>46191</v>
      </c>
      <c r="B30">
        <v>90.69</v>
      </c>
      <c r="C30">
        <f t="shared" si="0"/>
        <v>8755.0200000000514</v>
      </c>
    </row>
    <row r="31" spans="1:3">
      <c r="A31" s="65">
        <v>46195</v>
      </c>
      <c r="B31">
        <v>26.21</v>
      </c>
      <c r="C31">
        <f t="shared" si="0"/>
        <v>8781.2300000000505</v>
      </c>
    </row>
    <row r="32" spans="1:3">
      <c r="A32" s="65">
        <v>46196</v>
      </c>
      <c r="B32">
        <v>-137.54</v>
      </c>
      <c r="C32">
        <f t="shared" si="0"/>
        <v>8643.6900000000496</v>
      </c>
    </row>
    <row r="33" spans="1:3">
      <c r="A33" s="65">
        <v>46197</v>
      </c>
      <c r="B33">
        <v>233.23</v>
      </c>
      <c r="C33">
        <f t="shared" si="0"/>
        <v>8876.9200000000492</v>
      </c>
    </row>
    <row r="34" spans="1:3">
      <c r="A34" s="65">
        <v>46198</v>
      </c>
      <c r="B34">
        <v>1082.77</v>
      </c>
      <c r="C34">
        <f t="shared" si="0"/>
        <v>9959.6900000000496</v>
      </c>
    </row>
    <row r="35" spans="1:3">
      <c r="A35" s="65">
        <v>46199</v>
      </c>
      <c r="B35">
        <v>-51.69</v>
      </c>
      <c r="C35">
        <f t="shared" ref="C35:C63" si="1">C34+B35</f>
        <v>9908.0000000000491</v>
      </c>
    </row>
    <row r="36" spans="1:3">
      <c r="A36" s="65">
        <v>46202</v>
      </c>
      <c r="B36">
        <v>29.84</v>
      </c>
      <c r="C36">
        <f t="shared" si="1"/>
        <v>9937.8400000000493</v>
      </c>
    </row>
    <row r="37" spans="1:3">
      <c r="A37" s="65">
        <v>46203</v>
      </c>
      <c r="B37">
        <v>32.880000000000003</v>
      </c>
      <c r="C37">
        <f t="shared" si="1"/>
        <v>9970.7200000000485</v>
      </c>
    </row>
    <row r="38" spans="1:3">
      <c r="A38" s="65">
        <v>46204</v>
      </c>
      <c r="B38">
        <v>-149.25</v>
      </c>
      <c r="C38">
        <f t="shared" si="1"/>
        <v>9821.4700000000485</v>
      </c>
    </row>
    <row r="39" spans="1:3">
      <c r="A39" s="65">
        <v>46205</v>
      </c>
      <c r="B39">
        <v>-495.4</v>
      </c>
      <c r="C39">
        <f t="shared" si="1"/>
        <v>9326.0700000000488</v>
      </c>
    </row>
    <row r="40" spans="1:3">
      <c r="A40" s="65">
        <v>46209</v>
      </c>
      <c r="B40">
        <v>154.76</v>
      </c>
      <c r="C40">
        <f t="shared" si="1"/>
        <v>9480.830000000049</v>
      </c>
    </row>
    <row r="41" spans="1:3">
      <c r="A41" s="65">
        <v>46210</v>
      </c>
      <c r="B41">
        <v>32.53</v>
      </c>
      <c r="C41">
        <f t="shared" si="1"/>
        <v>9513.3600000000497</v>
      </c>
    </row>
    <row r="42" spans="1:3">
      <c r="A42" s="65">
        <v>46211</v>
      </c>
      <c r="B42">
        <v>-145.02000000000001</v>
      </c>
      <c r="C42">
        <f t="shared" si="1"/>
        <v>9368.3400000000493</v>
      </c>
    </row>
    <row r="43" spans="1:3">
      <c r="A43" s="65">
        <v>46212</v>
      </c>
      <c r="B43">
        <v>72.849999999999994</v>
      </c>
      <c r="C43">
        <f t="shared" si="1"/>
        <v>9441.1900000000496</v>
      </c>
    </row>
    <row r="44" spans="1:3">
      <c r="A44" s="65">
        <v>46213</v>
      </c>
      <c r="B44">
        <v>101</v>
      </c>
      <c r="C44">
        <f t="shared" si="1"/>
        <v>9542.1900000000496</v>
      </c>
    </row>
    <row r="45" spans="1:3">
      <c r="A45" s="66">
        <v>46216</v>
      </c>
      <c r="B45" s="40">
        <v>22.9</v>
      </c>
      <c r="C45" s="40">
        <f t="shared" si="1"/>
        <v>9565.0900000000493</v>
      </c>
    </row>
    <row r="46" spans="1:3">
      <c r="A46" s="65">
        <v>46217</v>
      </c>
      <c r="B46">
        <v>173.64</v>
      </c>
      <c r="C46">
        <f t="shared" si="1"/>
        <v>9738.7300000000487</v>
      </c>
    </row>
    <row r="47" spans="1:3">
      <c r="A47" s="65">
        <v>46218</v>
      </c>
      <c r="B47">
        <v>167.84</v>
      </c>
      <c r="C47">
        <f t="shared" si="1"/>
        <v>9906.5700000000488</v>
      </c>
    </row>
    <row r="48" spans="1:3">
      <c r="A48" s="43">
        <v>46219</v>
      </c>
      <c r="B48">
        <v>104</v>
      </c>
      <c r="C48">
        <f t="shared" si="1"/>
        <v>10010.570000000049</v>
      </c>
    </row>
    <row r="49" spans="1:3">
      <c r="A49" s="43">
        <v>46220</v>
      </c>
      <c r="B49">
        <v>203.93</v>
      </c>
      <c r="C49">
        <f t="shared" si="1"/>
        <v>10214.500000000049</v>
      </c>
    </row>
    <row r="50" spans="1:3">
      <c r="A50" s="65">
        <v>46223</v>
      </c>
      <c r="B50">
        <v>-180.74</v>
      </c>
      <c r="C50">
        <f t="shared" si="1"/>
        <v>10033.760000000049</v>
      </c>
    </row>
    <row r="51" spans="1:3">
      <c r="A51" s="65">
        <v>46224</v>
      </c>
      <c r="B51">
        <v>22.23</v>
      </c>
      <c r="C51">
        <f t="shared" si="1"/>
        <v>10055.990000000049</v>
      </c>
    </row>
    <row r="52" spans="1:3">
      <c r="A52" s="65">
        <v>46225</v>
      </c>
      <c r="B52">
        <v>-205.5</v>
      </c>
      <c r="C52">
        <f t="shared" si="1"/>
        <v>9850.4900000000489</v>
      </c>
    </row>
    <row r="53" spans="1:3">
      <c r="A53" s="65">
        <v>46226</v>
      </c>
      <c r="B53">
        <v>146.08000000000001</v>
      </c>
      <c r="C53">
        <f t="shared" si="1"/>
        <v>9996.5700000000488</v>
      </c>
    </row>
    <row r="54" spans="1:3">
      <c r="A54" s="65">
        <v>46227</v>
      </c>
      <c r="B54">
        <v>58.27</v>
      </c>
      <c r="C54">
        <f t="shared" si="1"/>
        <v>10054.840000000049</v>
      </c>
    </row>
    <row r="55" spans="1:3">
      <c r="A55" s="65">
        <v>46230</v>
      </c>
      <c r="B55">
        <v>-1485.25</v>
      </c>
      <c r="C55">
        <f t="shared" si="1"/>
        <v>8569.5900000000493</v>
      </c>
    </row>
    <row r="56" spans="1:3">
      <c r="A56" s="65">
        <v>46231</v>
      </c>
      <c r="B56">
        <v>476.34</v>
      </c>
      <c r="C56">
        <f t="shared" si="1"/>
        <v>9045.9300000000494</v>
      </c>
    </row>
    <row r="57" spans="1:3">
      <c r="A57" s="65">
        <v>46232</v>
      </c>
      <c r="B57">
        <v>-513.82000000000005</v>
      </c>
      <c r="C57">
        <f t="shared" si="1"/>
        <v>8532.1100000000497</v>
      </c>
    </row>
    <row r="58" spans="1:3">
      <c r="A58" s="65">
        <v>46233</v>
      </c>
      <c r="B58">
        <v>276.27</v>
      </c>
      <c r="C58">
        <f t="shared" si="1"/>
        <v>8808.3800000000501</v>
      </c>
    </row>
    <row r="59" spans="1:3">
      <c r="A59" s="65">
        <v>46234</v>
      </c>
      <c r="B59">
        <v>68.37</v>
      </c>
      <c r="C59">
        <f t="shared" si="1"/>
        <v>8876.7500000000509</v>
      </c>
    </row>
    <row r="60" spans="1:3">
      <c r="A60" s="65">
        <v>46237</v>
      </c>
      <c r="B60">
        <v>-356.77</v>
      </c>
      <c r="C60">
        <f t="shared" si="1"/>
        <v>8519.9800000000505</v>
      </c>
    </row>
    <row r="61" spans="1:3">
      <c r="A61" s="65">
        <v>46238</v>
      </c>
      <c r="B61">
        <v>38.24</v>
      </c>
      <c r="C61">
        <f t="shared" si="1"/>
        <v>8558.2200000000503</v>
      </c>
    </row>
    <row r="62" spans="1:3">
      <c r="A62" s="65">
        <v>46239</v>
      </c>
      <c r="B62">
        <v>-10.24</v>
      </c>
      <c r="C62">
        <f t="shared" si="1"/>
        <v>8547.9800000000505</v>
      </c>
    </row>
    <row r="63" spans="1:3">
      <c r="A63" s="67">
        <v>46240</v>
      </c>
      <c r="B63">
        <v>-189.41</v>
      </c>
      <c r="C63">
        <f t="shared" si="1"/>
        <v>8358.5700000000506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個別識別法</vt:lpstr>
      <vt:lpstr>工作表1</vt:lpstr>
      <vt:lpstr>累積損益check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2006-09-16T00:00:00Z</dcterms:created>
  <dcterms:modified xsi:type="dcterms:W3CDTF">2026-08-10T01:41:48Z</dcterms:modified>
</cp:coreProperties>
</file>