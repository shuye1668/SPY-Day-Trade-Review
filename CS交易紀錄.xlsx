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1" autoFilterDateGrouping="1"/>
  </bookViews>
  <sheets>
    <sheet xmlns:r="http://schemas.openxmlformats.org/officeDocument/2006/relationships" name="個別識別法" sheetId="1" state="visible" r:id="rId1"/>
    <sheet xmlns:r="http://schemas.openxmlformats.org/officeDocument/2006/relationships" name="累積損益check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8">
    <numFmt numFmtId="164" formatCode="#,##0.00_);[Red]\(#,##0.00\)"/>
    <numFmt numFmtId="165" formatCode="0.00_);[Red]\(0.00\)"/>
    <numFmt numFmtId="166" formatCode="0.00%;[Red]\-0.00%"/>
    <numFmt numFmtId="167" formatCode="_-* #,##0.00_-;\-* #,##0.00_-;_-* &quot;-&quot;??_-;_-@_-"/>
    <numFmt numFmtId="168" formatCode="0.0000"/>
    <numFmt numFmtId="169" formatCode="m&quot;月&quot;d&quot;日&quot;"/>
    <numFmt numFmtId="170" formatCode="yyyy\-mm\-dd\ h:mm:ss"/>
    <numFmt numFmtId="171" formatCode="yyyy-mm-dd h:mm:ss"/>
  </numFmts>
  <fonts count="15">
    <font>
      <name val="新細明體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微軟正黑體"/>
      <charset val="136"/>
      <family val="2"/>
      <color theme="1"/>
      <sz val="11"/>
    </font>
    <font>
      <name val="新細明體"/>
      <charset val="136"/>
      <family val="3"/>
      <sz val="9"/>
      <scheme val="minor"/>
    </font>
    <font>
      <name val="Segoe UI"/>
      <family val="2"/>
      <color theme="1"/>
      <sz val="10.5"/>
    </font>
    <font>
      <name val="新細明體"/>
      <charset val="136"/>
      <family val="1"/>
      <color theme="1"/>
      <sz val="12"/>
      <scheme val="minor"/>
    </font>
    <font>
      <name val="Arial"/>
      <family val="2"/>
      <sz val="10"/>
    </font>
    <font>
      <name val="新細明體"/>
      <charset val="136"/>
      <family val="1"/>
      <sz val="12"/>
      <scheme val="minor"/>
    </font>
    <font>
      <name val="Arial"/>
      <family val="2"/>
      <color theme="1"/>
      <sz val="10"/>
    </font>
    <font>
      <name val="新細明體"/>
      <family val="2"/>
      <color theme="1"/>
      <sz val="11"/>
      <scheme val="minor"/>
    </font>
    <font>
      <name val="細明體"/>
      <charset val="136"/>
      <family val="3"/>
      <color theme="1"/>
      <sz val="10"/>
    </font>
    <font>
      <name val="Arial"/>
      <family val="2"/>
      <b val="1"/>
      <color rgb="FF006400"/>
      <sz val="10"/>
    </font>
    <font>
      <name val="Arial"/>
      <family val="2"/>
      <b val="1"/>
      <color rgb="FFCC0000"/>
      <sz val="10"/>
    </font>
    <font>
      <name val="新細明體"/>
      <charset val="136"/>
      <family val="1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1" fillId="0" borderId="0"/>
    <xf numFmtId="43" fontId="1" fillId="0" borderId="0" applyAlignment="1">
      <alignment vertical="center"/>
    </xf>
    <xf numFmtId="9" fontId="1" fillId="0" borderId="0" applyAlignment="1">
      <alignment vertical="center"/>
    </xf>
    <xf numFmtId="0" fontId="9" fillId="0" borderId="0"/>
  </cellStyleXfs>
  <cellXfs count="90">
    <xf numFmtId="0" fontId="0" fillId="0" borderId="0" pivotButton="0" quotePrefix="0" xfId="0"/>
    <xf numFmtId="4" fontId="6" fillId="2" borderId="0" applyAlignment="1" pivotButton="0" quotePrefix="0" xfId="0">
      <alignment horizontal="center"/>
    </xf>
    <xf numFmtId="4" fontId="6" fillId="0" borderId="0" applyAlignment="1" pivotButton="0" quotePrefix="0" xfId="0">
      <alignment horizontal="center"/>
    </xf>
    <xf numFmtId="4" fontId="6" fillId="3" borderId="0" applyAlignment="1" pivotButton="0" quotePrefix="0" xfId="0">
      <alignment horizontal="center"/>
    </xf>
    <xf numFmtId="4" fontId="6" fillId="4" borderId="0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4" fontId="6" fillId="0" borderId="0" applyAlignment="1" pivotButton="0" quotePrefix="0" xfId="3">
      <alignment horizontal="center"/>
    </xf>
    <xf numFmtId="4" fontId="8" fillId="0" borderId="2" applyAlignment="1" pivotButton="0" quotePrefix="0" xfId="0">
      <alignment horizontal="center" wrapText="1"/>
    </xf>
    <xf numFmtId="4" fontId="8" fillId="5" borderId="2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4" fontId="8" fillId="6" borderId="2" applyAlignment="1" pivotButton="0" quotePrefix="0" xfId="0">
      <alignment horizontal="center" wrapText="1"/>
    </xf>
    <xf numFmtId="0" fontId="0" fillId="0" borderId="0" applyAlignment="1" pivotButton="0" quotePrefix="1" xfId="0">
      <alignment vertical="center"/>
    </xf>
    <xf numFmtId="0" fontId="1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/>
    </xf>
    <xf numFmtId="4" fontId="11" fillId="0" borderId="0" applyAlignment="1" pivotButton="0" quotePrefix="0" xfId="0">
      <alignment horizontal="center"/>
    </xf>
    <xf numFmtId="4" fontId="12" fillId="0" borderId="0" applyAlignment="1" pivotButton="0" quotePrefix="0" xfId="0">
      <alignment horizontal="center"/>
    </xf>
    <xf numFmtId="4" fontId="6" fillId="6" borderId="0" applyAlignment="1" pivotButton="0" quotePrefix="0" xfId="0">
      <alignment horizontal="center"/>
    </xf>
    <xf numFmtId="0" fontId="6" fillId="0" borderId="0" applyAlignment="1" pivotButton="0" quotePrefix="0" xfId="3">
      <alignment horizontal="center"/>
    </xf>
    <xf numFmtId="4" fontId="11" fillId="0" borderId="0" applyAlignment="1" pivotButton="0" quotePrefix="0" xfId="3">
      <alignment horizontal="center"/>
    </xf>
    <xf numFmtId="4" fontId="6" fillId="6" borderId="0" applyAlignment="1" pivotButton="0" quotePrefix="0" xfId="3">
      <alignment horizontal="center"/>
    </xf>
    <xf numFmtId="4" fontId="12" fillId="0" borderId="0" applyAlignment="1" pivotButton="0" quotePrefix="0" xfId="3">
      <alignment horizontal="center"/>
    </xf>
    <xf numFmtId="4" fontId="11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4" fontId="11" fillId="8" borderId="0" applyAlignment="1" pivotButton="0" quotePrefix="0" xfId="0">
      <alignment horizontal="center"/>
    </xf>
    <xf numFmtId="4" fontId="8" fillId="0" borderId="0" applyAlignment="1" pivotButton="0" quotePrefix="0" xfId="0">
      <alignment wrapText="1"/>
    </xf>
    <xf numFmtId="4" fontId="6" fillId="9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4" fontId="8" fillId="7" borderId="0" applyAlignment="1" pivotButton="0" quotePrefix="0" xfId="0">
      <alignment wrapText="1"/>
    </xf>
    <xf numFmtId="0" fontId="0" fillId="7" borderId="0" applyAlignment="1" pivotButton="0" quotePrefix="0" xfId="0">
      <alignment vertical="center"/>
    </xf>
    <xf numFmtId="4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4" fontId="8" fillId="6" borderId="0" applyAlignment="1" pivotButton="0" quotePrefix="0" xfId="0">
      <alignment wrapText="1"/>
    </xf>
    <xf numFmtId="4" fontId="0" fillId="7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5" fillId="10" borderId="3" applyAlignment="1" pivotButton="0" quotePrefix="0" xfId="0">
      <alignment vertical="center"/>
    </xf>
    <xf numFmtId="0" fontId="13" fillId="11" borderId="3" applyAlignment="1" pivotButton="0" quotePrefix="0" xfId="0">
      <alignment vertical="center"/>
    </xf>
    <xf numFmtId="10" fontId="5" fillId="0" borderId="0" applyAlignment="1" pivotButton="0" quotePrefix="0" xfId="2">
      <alignment vertical="center"/>
    </xf>
    <xf numFmtId="2" fontId="0" fillId="0" borderId="0" pivotButton="0" quotePrefix="0" xfId="0"/>
    <xf numFmtId="10" fontId="1" fillId="0" borderId="0" applyAlignment="1" pivotButton="0" quotePrefix="0" xfId="2">
      <alignment vertical="center"/>
    </xf>
    <xf numFmtId="10" fontId="1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10" fontId="14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164" fontId="5" fillId="0" borderId="1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66" fontId="5" fillId="0" borderId="0" applyAlignment="1" pivotButton="0" quotePrefix="0" xfId="2">
      <alignment vertical="center"/>
    </xf>
    <xf numFmtId="165" fontId="5" fillId="0" borderId="0" applyAlignment="1" pivotButton="0" quotePrefix="0" xfId="0">
      <alignment horizontal="right" vertical="center"/>
    </xf>
    <xf numFmtId="164" fontId="4" fillId="6" borderId="0" applyAlignment="1" pivotButton="0" quotePrefix="0" xfId="0">
      <alignment vertical="center" wrapText="1"/>
    </xf>
    <xf numFmtId="164" fontId="4" fillId="9" borderId="0" applyAlignment="1" pivotButton="0" quotePrefix="0" xfId="0">
      <alignment vertical="center" wrapText="1"/>
    </xf>
    <xf numFmtId="164" fontId="4" fillId="7" borderId="0" applyAlignment="1" pivotButton="0" quotePrefix="0" xfId="0">
      <alignment vertical="center" wrapText="1"/>
    </xf>
    <xf numFmtId="165" fontId="0" fillId="0" borderId="0" pivotButton="0" quotePrefix="0" xfId="0"/>
    <xf numFmtId="167" fontId="0" fillId="0" borderId="0" pivotButton="0" quotePrefix="0" xfId="1"/>
    <xf numFmtId="164" fontId="0" fillId="0" borderId="0" pivotButton="0" quotePrefix="0" xfId="1"/>
    <xf numFmtId="168" fontId="0" fillId="0" borderId="0" applyAlignment="1" pivotButton="0" quotePrefix="0" xfId="0">
      <alignment horizontal="left"/>
    </xf>
    <xf numFmtId="165" fontId="1" fillId="0" borderId="0" pivotButton="0" quotePrefix="0" xfId="0"/>
    <xf numFmtId="164" fontId="0" fillId="0" borderId="0" pivotButton="0" quotePrefix="0" xfId="0"/>
    <xf numFmtId="169" fontId="0" fillId="0" borderId="0" applyAlignment="1" pivotButton="0" quotePrefix="0" xfId="0">
      <alignment vertical="center"/>
    </xf>
    <xf numFmtId="170" fontId="0" fillId="0" borderId="0" pivotButton="0" quotePrefix="0" xfId="0"/>
    <xf numFmtId="170" fontId="1" fillId="0" borderId="0" pivotButton="0" quotePrefix="0" xfId="0"/>
    <xf numFmtId="17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164" fontId="5" fillId="0" borderId="1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66" fontId="5" fillId="0" borderId="0" applyAlignment="1" pivotButton="0" quotePrefix="0" xfId="2">
      <alignment vertical="center"/>
    </xf>
    <xf numFmtId="165" fontId="5" fillId="0" borderId="0" applyAlignment="1" pivotButton="0" quotePrefix="0" xfId="0">
      <alignment horizontal="right" vertical="center"/>
    </xf>
    <xf numFmtId="164" fontId="4" fillId="6" borderId="0" applyAlignment="1" pivotButton="0" quotePrefix="0" xfId="0">
      <alignment vertical="center" wrapText="1"/>
    </xf>
    <xf numFmtId="164" fontId="4" fillId="9" borderId="0" applyAlignment="1" pivotButton="0" quotePrefix="0" xfId="0">
      <alignment vertical="center" wrapText="1"/>
    </xf>
    <xf numFmtId="164" fontId="4" fillId="7" borderId="0" applyAlignment="1" pivotButton="0" quotePrefix="0" xfId="0">
      <alignment vertical="center" wrapText="1"/>
    </xf>
    <xf numFmtId="165" fontId="0" fillId="0" borderId="0" pivotButton="0" quotePrefix="0" xfId="0"/>
    <xf numFmtId="167" fontId="0" fillId="0" borderId="0" pivotButton="0" quotePrefix="0" xfId="1"/>
    <xf numFmtId="164" fontId="0" fillId="0" borderId="0" pivotButton="0" quotePrefix="0" xfId="1"/>
    <xf numFmtId="168" fontId="0" fillId="0" borderId="0" applyAlignment="1" pivotButton="0" quotePrefix="0" xfId="0">
      <alignment horizontal="left"/>
    </xf>
    <xf numFmtId="165" fontId="1" fillId="0" borderId="0" pivotButton="0" quotePrefix="0" xfId="0"/>
    <xf numFmtId="164" fontId="0" fillId="0" borderId="0" pivotButton="0" quotePrefix="0" xfId="0"/>
    <xf numFmtId="171" fontId="0" fillId="0" borderId="0" pivotButton="0" quotePrefix="0" xfId="0"/>
    <xf numFmtId="169" fontId="0" fillId="0" borderId="0" applyAlignment="1" pivotButton="0" quotePrefix="0" xfId="0">
      <alignment vertical="center"/>
    </xf>
    <xf numFmtId="170" fontId="0" fillId="0" borderId="0" pivotButton="0" quotePrefix="0" xfId="0"/>
    <xf numFmtId="170" fontId="1" fillId="0" borderId="0" pivotButton="0" quotePrefix="0" xfId="0"/>
  </cellXfs>
  <cellStyles count="4">
    <cellStyle name="一般" xfId="0" builtinId="0"/>
    <cellStyle name="千分位" xfId="1" builtinId="3"/>
    <cellStyle name="百分比" xfId="2" builtinId="5"/>
    <cellStyle name="一般 11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9"/>
  <sheetViews>
    <sheetView topLeftCell="A2445" workbookViewId="0">
      <selection activeCell="M2471" sqref="M2471"/>
    </sheetView>
  </sheetViews>
  <sheetFormatPr baseColWidth="8" defaultRowHeight="16.5"/>
  <cols>
    <col width="16.875" customWidth="1" style="44" min="1" max="1"/>
    <col width="17.125" customWidth="1" style="44" min="2" max="2"/>
    <col width="17.875" customWidth="1" style="44" min="3" max="3"/>
  </cols>
  <sheetData>
    <row r="1" ht="30" customHeight="1" s="44">
      <c r="A1" s="68" t="inlineStr">
        <is>
          <t>2026.04.02</t>
        </is>
      </c>
      <c r="B1" s="69" t="n">
        <v>-39368.26</v>
      </c>
      <c r="C1" s="70" t="inlineStr">
        <is>
          <t>損益</t>
        </is>
      </c>
    </row>
    <row r="2">
      <c r="A2" s="1" t="n">
        <v>64669.99000000001</v>
      </c>
      <c r="B2" s="69">
        <f>+B1+A2</f>
        <v/>
      </c>
      <c r="C2" s="71" t="n"/>
    </row>
    <row r="3">
      <c r="A3" s="2" t="n">
        <v>64643.99000000001</v>
      </c>
      <c r="B3" s="69">
        <f>+B2+A3</f>
        <v/>
      </c>
      <c r="C3" s="71" t="n"/>
    </row>
    <row r="4">
      <c r="A4" s="2" t="n">
        <v>-64681.83</v>
      </c>
      <c r="B4" s="69">
        <f>+B3+A4</f>
        <v/>
      </c>
      <c r="C4" s="71" t="n">
        <v>-37.84</v>
      </c>
    </row>
    <row r="5">
      <c r="A5" s="1" t="n">
        <v>-64639</v>
      </c>
      <c r="B5" s="69">
        <f>+B4+A5</f>
        <v/>
      </c>
      <c r="C5" s="71" t="n">
        <v>30.99</v>
      </c>
    </row>
    <row r="6">
      <c r="A6" s="2" t="n">
        <v>64638.98</v>
      </c>
      <c r="B6" s="69">
        <f>+B5+A6</f>
        <v/>
      </c>
      <c r="C6" s="71" t="n"/>
    </row>
    <row r="7">
      <c r="A7" s="2" t="n">
        <v>-64545.7</v>
      </c>
      <c r="B7" s="69">
        <f>+B6+A7</f>
        <v/>
      </c>
      <c r="C7" s="71" t="n">
        <v>93.28</v>
      </c>
    </row>
    <row r="8">
      <c r="A8" s="2" t="n">
        <v>64594.99000000001</v>
      </c>
      <c r="B8" s="69">
        <f>+B7+A8</f>
        <v/>
      </c>
      <c r="C8" s="71" t="n"/>
    </row>
    <row r="9">
      <c r="A9" s="2" t="n">
        <v>-64569.99</v>
      </c>
      <c r="B9" s="69">
        <f>+B8+A9</f>
        <v/>
      </c>
      <c r="C9" s="71" t="n">
        <v>25</v>
      </c>
    </row>
    <row r="10">
      <c r="A10" s="2" t="n">
        <v>64700.98</v>
      </c>
      <c r="B10" s="69">
        <f>+B9+A10</f>
        <v/>
      </c>
      <c r="C10" s="71" t="n"/>
    </row>
    <row r="11">
      <c r="A11" s="2" t="n">
        <v>-65487</v>
      </c>
      <c r="B11" s="69">
        <f>+B10+A11</f>
        <v/>
      </c>
      <c r="C11" s="71" t="n">
        <v>-786.02</v>
      </c>
    </row>
    <row r="12">
      <c r="A12" s="2" t="n">
        <v>-65459</v>
      </c>
      <c r="B12" s="69">
        <f>+B11+A12</f>
        <v/>
      </c>
      <c r="C12" s="71" t="n"/>
    </row>
    <row r="13">
      <c r="A13" s="2" t="n">
        <v>65479.98</v>
      </c>
      <c r="B13" s="69">
        <f>+B12+A13</f>
        <v/>
      </c>
      <c r="C13" s="71" t="n">
        <v>20.98</v>
      </c>
    </row>
    <row r="14">
      <c r="A14" s="2" t="n">
        <v>-65531</v>
      </c>
      <c r="B14" s="69">
        <f>+B13+A14</f>
        <v/>
      </c>
      <c r="C14" s="71" t="n"/>
    </row>
    <row r="15">
      <c r="A15" s="2" t="n">
        <v>65549.98</v>
      </c>
      <c r="B15" s="69">
        <f>+B14+A15</f>
        <v/>
      </c>
      <c r="C15" s="71" t="n">
        <v>18.98</v>
      </c>
    </row>
    <row r="16">
      <c r="A16" s="2" t="n">
        <v>65393.48</v>
      </c>
      <c r="B16" s="69">
        <f>+B15+A16</f>
        <v/>
      </c>
      <c r="C16" s="71" t="n"/>
    </row>
    <row r="17">
      <c r="A17" s="2" t="n">
        <v>-65471.5</v>
      </c>
      <c r="B17" s="69">
        <f>+B16+A17</f>
        <v/>
      </c>
      <c r="C17" s="71" t="n">
        <v>-78.02</v>
      </c>
    </row>
    <row r="18">
      <c r="A18" s="2" t="n">
        <v>-65494.5</v>
      </c>
      <c r="B18" s="69">
        <f>+B17+A18</f>
        <v/>
      </c>
      <c r="C18" s="71" t="n"/>
    </row>
    <row r="19">
      <c r="A19" s="2" t="n">
        <v>65472.98</v>
      </c>
      <c r="B19" s="69">
        <f>+B18+A19</f>
        <v/>
      </c>
      <c r="C19" s="71" t="n">
        <v>-21.52</v>
      </c>
    </row>
    <row r="20">
      <c r="A20" s="2" t="n">
        <v>16369.63</v>
      </c>
      <c r="B20" s="69">
        <f>+B19+A20</f>
        <v/>
      </c>
      <c r="C20" s="71" t="n"/>
    </row>
    <row r="21">
      <c r="A21" s="2" t="n">
        <v>49108.86</v>
      </c>
      <c r="B21" s="69">
        <f>+B20+A21</f>
        <v/>
      </c>
      <c r="C21" s="71" t="n"/>
    </row>
    <row r="22">
      <c r="A22" s="2" t="n">
        <v>-65514.71</v>
      </c>
      <c r="B22" s="69">
        <f>+B21+A22</f>
        <v/>
      </c>
      <c r="C22" s="71" t="n">
        <v>-36.22</v>
      </c>
    </row>
    <row r="23">
      <c r="A23" s="2" t="n">
        <v>65545.23999999999</v>
      </c>
      <c r="B23" s="69">
        <f>+B22+A23</f>
        <v/>
      </c>
      <c r="C23" s="71" t="n"/>
    </row>
    <row r="24">
      <c r="A24" s="2" t="n">
        <v>-65539.25999999999</v>
      </c>
      <c r="B24" s="69">
        <f>+B23+A24</f>
        <v/>
      </c>
      <c r="C24" s="71" t="n">
        <v>5.98</v>
      </c>
    </row>
    <row r="25">
      <c r="A25" s="2" t="n">
        <v>65504.98</v>
      </c>
      <c r="B25" s="69">
        <f>+B24+A25</f>
        <v/>
      </c>
      <c r="C25" s="71" t="n"/>
    </row>
    <row r="26">
      <c r="A26" s="2" t="n">
        <v>-65496.6</v>
      </c>
      <c r="B26" s="69">
        <f>+B25+A26</f>
        <v/>
      </c>
      <c r="C26" s="71" t="n">
        <v>8.380000000000001</v>
      </c>
    </row>
    <row r="27">
      <c r="A27" s="3" t="n">
        <v>65441.48</v>
      </c>
      <c r="B27" s="69">
        <f>+B26+A27</f>
        <v/>
      </c>
      <c r="C27" s="71" t="n"/>
    </row>
    <row r="28">
      <c r="A28" s="2" t="n">
        <v>65559.48</v>
      </c>
      <c r="B28" s="69">
        <f>+B27+A28</f>
        <v/>
      </c>
      <c r="C28" s="71" t="n"/>
    </row>
    <row r="29">
      <c r="A29" s="2" t="n">
        <v>-65520.99</v>
      </c>
      <c r="B29" s="69">
        <f>+B28+A29</f>
        <v/>
      </c>
      <c r="C29" s="71" t="n">
        <v>38.49</v>
      </c>
    </row>
    <row r="30">
      <c r="A30" s="3" t="n">
        <v>-65394.24</v>
      </c>
      <c r="B30" s="69">
        <f>+B29+A30</f>
        <v/>
      </c>
      <c r="C30" s="71" t="n">
        <v>47.24</v>
      </c>
    </row>
    <row r="31">
      <c r="A31" s="2" t="n">
        <v>65378.87</v>
      </c>
      <c r="B31" s="69">
        <f>+B30+A31</f>
        <v/>
      </c>
      <c r="C31" s="71" t="n"/>
    </row>
    <row r="32">
      <c r="A32" s="2" t="n">
        <v>-52281.2</v>
      </c>
      <c r="B32" s="69">
        <f>+B31+A32</f>
        <v/>
      </c>
      <c r="C32" s="71" t="n"/>
    </row>
    <row r="33">
      <c r="A33" s="2" t="n">
        <v>-13070.3</v>
      </c>
      <c r="B33" s="69">
        <f>+B32+A33</f>
        <v/>
      </c>
      <c r="C33" s="71" t="n">
        <v>27.37</v>
      </c>
    </row>
    <row r="34">
      <c r="A34" s="2" t="n">
        <v>18296.45</v>
      </c>
      <c r="B34" s="69">
        <f>+B33+A34</f>
        <v/>
      </c>
      <c r="C34" s="71" t="n"/>
    </row>
    <row r="35">
      <c r="A35" s="2" t="n">
        <v>13068.8</v>
      </c>
      <c r="B35" s="69">
        <f>+B34+A35</f>
        <v/>
      </c>
      <c r="C35" s="71" t="n"/>
    </row>
    <row r="36">
      <c r="A36" s="2" t="n">
        <v>13068.8</v>
      </c>
      <c r="B36" s="69">
        <f>+B35+A36</f>
        <v/>
      </c>
      <c r="C36" s="71" t="n"/>
    </row>
    <row r="37">
      <c r="A37" s="2" t="n">
        <v>20910.07</v>
      </c>
      <c r="B37" s="69">
        <f>+B36+A37</f>
        <v/>
      </c>
      <c r="C37" s="71" t="n"/>
    </row>
    <row r="38">
      <c r="A38" s="2" t="n">
        <v>-65329.5</v>
      </c>
      <c r="B38" s="69">
        <f>+B37+A38</f>
        <v/>
      </c>
      <c r="C38" s="71" t="n">
        <v>14.62</v>
      </c>
    </row>
    <row r="39">
      <c r="A39" s="2" t="n">
        <v>26134.79</v>
      </c>
      <c r="B39" s="69">
        <f>+B38+A39</f>
        <v/>
      </c>
      <c r="C39" s="71" t="n"/>
    </row>
    <row r="40">
      <c r="A40" s="2" t="n">
        <v>26134.79</v>
      </c>
      <c r="B40" s="69">
        <f>+B39+A40</f>
        <v/>
      </c>
      <c r="C40" s="71" t="n"/>
    </row>
    <row r="41">
      <c r="A41" s="2" t="n">
        <v>13067.4</v>
      </c>
      <c r="B41" s="69">
        <f>+B40+A41</f>
        <v/>
      </c>
      <c r="C41" s="71" t="n"/>
    </row>
    <row r="42">
      <c r="A42" s="2" t="n">
        <v>-65353.99</v>
      </c>
      <c r="B42" s="69">
        <f>+B41+A42</f>
        <v/>
      </c>
      <c r="C42" s="71" t="n">
        <v>-17.01</v>
      </c>
    </row>
    <row r="43">
      <c r="A43" s="2" t="n">
        <v>65278.98</v>
      </c>
      <c r="B43" s="69">
        <f>+B42+A43</f>
        <v/>
      </c>
      <c r="C43" s="71" t="n"/>
    </row>
    <row r="44">
      <c r="A44" s="2" t="n">
        <v>-65261.87</v>
      </c>
      <c r="B44" s="69">
        <f>+B43+A44</f>
        <v/>
      </c>
      <c r="C44" s="71" t="n">
        <v>17.11</v>
      </c>
    </row>
    <row r="45">
      <c r="A45" s="4" t="n">
        <v>52200.86</v>
      </c>
      <c r="B45" s="69">
        <f>+B44+A45</f>
        <v/>
      </c>
      <c r="C45" s="71" t="n"/>
    </row>
    <row r="46">
      <c r="A46" s="4" t="n">
        <v>13050.22</v>
      </c>
      <c r="B46" s="69">
        <f>+B45+A46</f>
        <v/>
      </c>
      <c r="C46" s="71" t="n"/>
    </row>
    <row r="47">
      <c r="A47" s="2" t="n">
        <v>65281.99000000001</v>
      </c>
      <c r="B47" s="69">
        <f>+B46+A47</f>
        <v/>
      </c>
      <c r="C47" s="71" t="n"/>
    </row>
    <row r="48">
      <c r="A48" s="2" t="n">
        <v>-65264.82</v>
      </c>
      <c r="B48" s="69">
        <f>+B47+A48</f>
        <v/>
      </c>
      <c r="C48" s="71" t="n">
        <v>17.17</v>
      </c>
    </row>
    <row r="49">
      <c r="A49" s="4" t="n">
        <v>-65260.53</v>
      </c>
      <c r="B49" s="69">
        <f>+B48+A49</f>
        <v/>
      </c>
      <c r="C49" s="71" t="n">
        <v>-9.449999999999999</v>
      </c>
    </row>
    <row r="50">
      <c r="A50" s="2" t="n">
        <v>-65270</v>
      </c>
      <c r="B50" s="69">
        <f>+B49+A50</f>
        <v/>
      </c>
      <c r="C50" s="71" t="n"/>
    </row>
    <row r="51">
      <c r="A51" s="2" t="n">
        <v>65281.08</v>
      </c>
      <c r="B51" s="69">
        <f>+B50+A51</f>
        <v/>
      </c>
      <c r="C51" s="71" t="n">
        <v>11.08</v>
      </c>
    </row>
    <row r="52">
      <c r="A52" s="2" t="n">
        <v>7181.08</v>
      </c>
      <c r="B52" s="69">
        <f>+B51+A52</f>
        <v/>
      </c>
      <c r="C52" s="71" t="n"/>
    </row>
    <row r="53">
      <c r="A53" s="2" t="n">
        <v>58101.4</v>
      </c>
      <c r="B53" s="69">
        <f>+B52+A53</f>
        <v/>
      </c>
      <c r="C53" s="71" t="n"/>
    </row>
    <row r="54">
      <c r="A54" s="2" t="n">
        <v>-65367</v>
      </c>
      <c r="B54" s="69">
        <f>+B53+A54</f>
        <v/>
      </c>
      <c r="C54" s="71" t="n">
        <v>-84.52</v>
      </c>
    </row>
    <row r="55">
      <c r="A55" s="2" t="n">
        <v>17597.98</v>
      </c>
      <c r="B55" s="69">
        <f>+B54+A55</f>
        <v/>
      </c>
      <c r="C55" s="71" t="n"/>
    </row>
    <row r="56">
      <c r="A56" s="2" t="n">
        <v>-17673.5</v>
      </c>
      <c r="B56" s="69">
        <f>+B55+A56</f>
        <v/>
      </c>
      <c r="C56" s="71" t="n">
        <v>-75.52</v>
      </c>
    </row>
    <row r="57" ht="17.25" customHeight="1" s="44" thickBot="1">
      <c r="A57" s="41" t="n"/>
      <c r="B57" s="72" t="inlineStr">
        <is>
          <t xml:space="preserve">合計 </t>
        </is>
      </c>
      <c r="C57" s="73">
        <f>SUM(C2:C56)</f>
        <v/>
      </c>
    </row>
    <row r="58" ht="17.25" customHeight="1" s="44" thickTop="1">
      <c r="A58" s="41" t="n"/>
      <c r="B58" s="72" t="inlineStr">
        <is>
          <t>核驗</t>
        </is>
      </c>
      <c r="C58" s="74">
        <f>+B56-B1</f>
        <v/>
      </c>
    </row>
    <row r="59">
      <c r="A59" s="41" t="n"/>
      <c r="B59" s="69" t="n"/>
      <c r="C59" s="41" t="n"/>
    </row>
    <row r="60">
      <c r="A60" s="41" t="n"/>
      <c r="B60" s="69" t="n"/>
      <c r="C60" s="41" t="n"/>
    </row>
    <row r="61">
      <c r="A61" s="41" t="inlineStr">
        <is>
          <t>2026.04.02當沖</t>
        </is>
      </c>
      <c r="B61" s="72" t="inlineStr">
        <is>
          <t>買</t>
        </is>
      </c>
      <c r="C61" s="72">
        <f>SUMIF(A2:A54,"&lt;0")</f>
        <v/>
      </c>
    </row>
    <row r="62">
      <c r="A62" s="41">
        <f>"SPY " &amp; COUNT(C1:C54) * 100 &amp; "股"</f>
        <v/>
      </c>
      <c r="B62" s="72" t="inlineStr">
        <is>
          <t>賣</t>
        </is>
      </c>
      <c r="C62" s="72">
        <f>SUMIF(A2:A54,"&gt;0")</f>
        <v/>
      </c>
    </row>
    <row r="63" ht="17.25" customHeight="1" s="44" thickBot="1">
      <c r="A63" s="68" t="n"/>
      <c r="B63" s="72" t="inlineStr">
        <is>
          <t>當日損益</t>
        </is>
      </c>
      <c r="C63" s="73">
        <f>+C61+C62</f>
        <v/>
      </c>
    </row>
    <row r="64" ht="17.25" customHeight="1" s="44" thickTop="1">
      <c r="A64" s="68" t="n"/>
      <c r="B64" s="72" t="inlineStr">
        <is>
          <t>當日損益 %</t>
        </is>
      </c>
      <c r="C64" s="36">
        <f>C63/ABS(C61)</f>
        <v/>
      </c>
    </row>
    <row r="65">
      <c r="A65" s="68" t="n"/>
      <c r="B65" s="72" t="n"/>
      <c r="C65" s="75" t="n"/>
    </row>
    <row r="66">
      <c r="A66" s="41" t="inlineStr">
        <is>
          <t>2026.04.02 當沖</t>
        </is>
      </c>
      <c r="B66" s="72" t="inlineStr">
        <is>
          <t>買</t>
        </is>
      </c>
      <c r="C66" s="72">
        <f>SUMIF(A55:A56,"&lt;0")</f>
        <v/>
      </c>
    </row>
    <row r="67">
      <c r="A67" s="41">
        <f>"NVDA " &amp; COUNT(C55:C56) * 100 &amp; "股"</f>
        <v/>
      </c>
      <c r="B67" s="72" t="inlineStr">
        <is>
          <t>賣</t>
        </is>
      </c>
      <c r="C67" s="72">
        <f>SUMIF(A55:A56,"&gt;0")</f>
        <v/>
      </c>
    </row>
    <row r="68" ht="17.25" customHeight="1" s="44" thickBot="1">
      <c r="A68" s="68" t="n"/>
      <c r="B68" s="72" t="inlineStr">
        <is>
          <t>當日損益</t>
        </is>
      </c>
      <c r="C68" s="73">
        <f>+C66+C67</f>
        <v/>
      </c>
    </row>
    <row r="69" ht="17.25" customHeight="1" s="44" thickTop="1">
      <c r="A69" s="68" t="n"/>
      <c r="B69" s="72" t="inlineStr">
        <is>
          <t>當日損益 %</t>
        </is>
      </c>
      <c r="C69" s="36">
        <f>C68/ABS(C66)</f>
        <v/>
      </c>
    </row>
    <row r="70">
      <c r="A70" s="68" t="n"/>
      <c r="B70" s="41" t="n"/>
      <c r="C70" s="76">
        <f>+A63+A64+A70</f>
        <v/>
      </c>
    </row>
    <row r="71">
      <c r="A71" s="41" t="inlineStr">
        <is>
          <t>累積留倉   200股</t>
        </is>
      </c>
      <c r="B71" s="41" t="n"/>
      <c r="C71" s="41" t="n"/>
    </row>
    <row r="72">
      <c r="A72" s="41" t="inlineStr">
        <is>
          <t>2026.02.27 留倉</t>
        </is>
      </c>
      <c r="B72" s="41" t="inlineStr">
        <is>
          <t>買 100股</t>
        </is>
      </c>
      <c r="C72" s="72" t="n">
        <v>-68407</v>
      </c>
    </row>
    <row r="73">
      <c r="A73" s="41" t="inlineStr">
        <is>
          <t>2026.03.05 留倉</t>
        </is>
      </c>
      <c r="B73" s="41" t="inlineStr">
        <is>
          <t>買 100股</t>
        </is>
      </c>
      <c r="C73" s="71" t="n">
        <v>-68311.62</v>
      </c>
    </row>
    <row r="74">
      <c r="A74" s="5" t="n"/>
      <c r="B74" s="41" t="n"/>
      <c r="C74" s="41" t="n"/>
    </row>
    <row r="75">
      <c r="A75" s="5" t="n"/>
      <c r="B75" s="41" t="n"/>
      <c r="C75" s="41" t="n"/>
    </row>
    <row r="76">
      <c r="A76" s="5" t="n"/>
      <c r="B76" s="41" t="n"/>
      <c r="C76" s="41" t="n"/>
    </row>
    <row r="77">
      <c r="A77" s="5" t="n"/>
      <c r="B77" s="41" t="n"/>
      <c r="C77" s="41" t="n"/>
    </row>
    <row r="78">
      <c r="A78" s="5" t="n"/>
      <c r="B78" s="41" t="n"/>
      <c r="C78" s="41" t="n"/>
    </row>
    <row r="79">
      <c r="A79" s="5" t="n"/>
      <c r="B79" s="41" t="n"/>
      <c r="C79" s="41" t="n"/>
    </row>
    <row r="80">
      <c r="A80" s="5" t="n"/>
      <c r="B80" s="41" t="n"/>
      <c r="C80" s="41" t="n"/>
    </row>
    <row r="81">
      <c r="A81" s="5" t="n"/>
      <c r="B81" s="41" t="n"/>
      <c r="C81" s="41" t="n"/>
    </row>
    <row r="82" ht="30" customHeight="1" s="44">
      <c r="A82" s="68" t="inlineStr">
        <is>
          <t>2026.04.06</t>
        </is>
      </c>
      <c r="B82" s="69" t="n">
        <v>-39283.76</v>
      </c>
      <c r="C82" s="70" t="inlineStr">
        <is>
          <t>損益</t>
        </is>
      </c>
    </row>
    <row r="83">
      <c r="A83" s="72" t="n">
        <v>-65661</v>
      </c>
      <c r="B83" s="69">
        <f>+B82+A83</f>
        <v/>
      </c>
      <c r="C83" s="71" t="n"/>
    </row>
    <row r="84">
      <c r="A84" s="72">
        <f>65680.01-0.02</f>
        <v/>
      </c>
      <c r="B84" s="69">
        <f>+B83+A84</f>
        <v/>
      </c>
      <c r="C84" s="71">
        <f>+A83+A84</f>
        <v/>
      </c>
    </row>
    <row r="85">
      <c r="A85" s="72" t="n">
        <v>-26289.8</v>
      </c>
      <c r="B85" s="69">
        <f>+B84+A85</f>
        <v/>
      </c>
      <c r="C85" s="71" t="n"/>
    </row>
    <row r="86">
      <c r="A86" s="72" t="n">
        <v>-39434.7</v>
      </c>
      <c r="B86" s="69">
        <f>+B85+A86</f>
        <v/>
      </c>
      <c r="C86" s="71" t="n"/>
    </row>
    <row r="87">
      <c r="A87" s="72">
        <f>65734.01-0.02</f>
        <v/>
      </c>
      <c r="B87" s="69">
        <f>+B86+A87</f>
        <v/>
      </c>
      <c r="C87" s="71">
        <f>+A87+A86+A85</f>
        <v/>
      </c>
    </row>
    <row r="88">
      <c r="A88" s="72" t="n">
        <v>-65762.28999999999</v>
      </c>
      <c r="B88" s="69">
        <f>+B87+A88</f>
        <v/>
      </c>
      <c r="C88" s="71" t="n"/>
    </row>
    <row r="89">
      <c r="A89" s="72">
        <f>65752.78-0.02</f>
        <v/>
      </c>
      <c r="B89" s="69">
        <f>+B88+A89</f>
        <v/>
      </c>
      <c r="C89" s="71">
        <f>+A88+A89</f>
        <v/>
      </c>
    </row>
    <row r="90">
      <c r="A90" s="72" t="n">
        <v>-65784.2</v>
      </c>
      <c r="B90" s="69">
        <f>+B89+A90</f>
        <v/>
      </c>
      <c r="C90" s="71" t="n"/>
    </row>
    <row r="91">
      <c r="A91" s="72">
        <f>65779-0.02</f>
        <v/>
      </c>
      <c r="B91" s="69">
        <f>+B90+A91</f>
        <v/>
      </c>
      <c r="C91" s="71">
        <f>+A90+A91</f>
        <v/>
      </c>
    </row>
    <row r="92">
      <c r="A92" s="72" t="n">
        <v>-65678.99000000001</v>
      </c>
      <c r="B92" s="69">
        <f>+B91+A92</f>
        <v/>
      </c>
      <c r="C92" s="71" t="n"/>
    </row>
    <row r="93">
      <c r="A93" s="72">
        <f>65751-0.02</f>
        <v/>
      </c>
      <c r="B93" s="69">
        <f>+B92+A93</f>
        <v/>
      </c>
      <c r="C93" s="71">
        <f>+A92+A93</f>
        <v/>
      </c>
    </row>
    <row r="94">
      <c r="A94" s="72" t="n">
        <v>-65754.91</v>
      </c>
      <c r="B94" s="69">
        <f>+B93+A94</f>
        <v/>
      </c>
      <c r="C94" s="71" t="n"/>
    </row>
    <row r="95">
      <c r="A95" s="72">
        <f>65804-0.02</f>
        <v/>
      </c>
      <c r="B95" s="69">
        <f>+B94+A95</f>
        <v/>
      </c>
      <c r="C95" s="71">
        <f>+A94+A95</f>
        <v/>
      </c>
    </row>
    <row r="96">
      <c r="A96" s="72" t="n">
        <v>-658.16</v>
      </c>
      <c r="B96" s="69">
        <f>+B95+A96</f>
        <v/>
      </c>
      <c r="C96" s="71" t="n"/>
    </row>
    <row r="97">
      <c r="A97" s="72" t="n">
        <v>-65158.82</v>
      </c>
      <c r="B97" s="69">
        <f>+B96+A97</f>
        <v/>
      </c>
      <c r="C97" s="71" t="n"/>
    </row>
    <row r="98">
      <c r="A98" s="72">
        <f>39512.4-0.01</f>
        <v/>
      </c>
      <c r="B98" s="69">
        <f>+B97+A98</f>
        <v/>
      </c>
      <c r="C98" s="71" t="n"/>
    </row>
    <row r="99">
      <c r="A99" s="72">
        <f>26341.6-0.01</f>
        <v/>
      </c>
      <c r="B99" s="69">
        <f>+B98+A99</f>
        <v/>
      </c>
      <c r="C99" s="71">
        <f>+A96+A97+A98+A99</f>
        <v/>
      </c>
    </row>
    <row r="100">
      <c r="A100" s="72" t="n">
        <v>-65864.99000000001</v>
      </c>
      <c r="B100" s="69">
        <f>+B99+A100</f>
        <v/>
      </c>
      <c r="C100" s="71" t="n"/>
    </row>
    <row r="101">
      <c r="A101" s="72">
        <f>65872-0.02</f>
        <v/>
      </c>
      <c r="B101" s="69">
        <f>+B100+A101</f>
        <v/>
      </c>
      <c r="C101" s="71">
        <f>+A100+A101</f>
        <v/>
      </c>
    </row>
    <row r="102">
      <c r="A102" s="72" t="n">
        <v>-65838.99000000001</v>
      </c>
      <c r="B102" s="69">
        <f>+B101+A102</f>
        <v/>
      </c>
      <c r="C102" s="71" t="n"/>
    </row>
    <row r="103">
      <c r="A103" s="72">
        <f>65825.5-0.02</f>
        <v/>
      </c>
      <c r="B103" s="69">
        <f>+B102+A103</f>
        <v/>
      </c>
      <c r="C103" s="71">
        <f>+A102+A103</f>
        <v/>
      </c>
    </row>
    <row r="104">
      <c r="A104" s="72" t="n">
        <v>-65726.5</v>
      </c>
      <c r="B104" s="69">
        <f>+B103+A104</f>
        <v/>
      </c>
      <c r="C104" s="71" t="n"/>
    </row>
    <row r="105">
      <c r="A105" s="72">
        <f>65751.01-0.02</f>
        <v/>
      </c>
      <c r="B105" s="69">
        <f>+B104+A105</f>
        <v/>
      </c>
      <c r="C105" s="71">
        <f>+A104+A105</f>
        <v/>
      </c>
    </row>
    <row r="106" ht="17.25" customHeight="1" s="44" thickBot="1">
      <c r="A106" s="41" t="n"/>
      <c r="B106" s="72" t="inlineStr">
        <is>
          <t xml:space="preserve">合計 </t>
        </is>
      </c>
      <c r="C106" s="73">
        <f>SUM(C83:C105)</f>
        <v/>
      </c>
    </row>
    <row r="107" ht="17.25" customHeight="1" s="44" thickTop="1">
      <c r="A107" s="41" t="n"/>
      <c r="B107" s="72" t="inlineStr">
        <is>
          <t>核驗</t>
        </is>
      </c>
      <c r="C107" s="74">
        <f>+B105-B82</f>
        <v/>
      </c>
    </row>
    <row r="108">
      <c r="A108" s="41" t="n"/>
      <c r="B108" s="69" t="n"/>
      <c r="C108" s="41" t="n"/>
    </row>
    <row r="109">
      <c r="A109" s="41" t="n"/>
      <c r="B109" s="69" t="n"/>
      <c r="C109" s="41" t="n"/>
    </row>
    <row r="110">
      <c r="A110" s="41" t="inlineStr">
        <is>
          <t>2026.04.06當沖</t>
        </is>
      </c>
      <c r="B110" s="72" t="inlineStr">
        <is>
          <t>買</t>
        </is>
      </c>
      <c r="C110" s="72">
        <f>SUMIF(A83:A105,"&lt;0")</f>
        <v/>
      </c>
    </row>
    <row r="111">
      <c r="A111" s="41">
        <f>"SPY " &amp; COUNT(C83:C105) * 100 &amp; "股"</f>
        <v/>
      </c>
      <c r="B111" s="72" t="inlineStr">
        <is>
          <t>賣</t>
        </is>
      </c>
      <c r="C111" s="72">
        <f>SUMIF(A83:A105,"&gt;0")</f>
        <v/>
      </c>
    </row>
    <row r="112" ht="17.25" customHeight="1" s="44" thickBot="1">
      <c r="A112" s="68" t="n"/>
      <c r="B112" s="72" t="inlineStr">
        <is>
          <t>當日損益</t>
        </is>
      </c>
      <c r="C112" s="73">
        <f>+C110+C111</f>
        <v/>
      </c>
    </row>
    <row r="113" ht="17.25" customHeight="1" s="44" thickTop="1">
      <c r="A113" s="68" t="n"/>
      <c r="B113" s="72" t="inlineStr">
        <is>
          <t>當日損益 %</t>
        </is>
      </c>
      <c r="C113" s="36">
        <f>C112/ABS(C110)</f>
        <v/>
      </c>
    </row>
    <row r="114">
      <c r="A114" s="68" t="n"/>
      <c r="B114" s="41" t="n"/>
      <c r="C114" s="76">
        <f>+A112+A113+A114</f>
        <v/>
      </c>
    </row>
    <row r="115">
      <c r="A115" s="41" t="inlineStr">
        <is>
          <t>累積留倉   200股</t>
        </is>
      </c>
      <c r="B115" s="41" t="n"/>
      <c r="C115" s="41" t="n"/>
    </row>
    <row r="116">
      <c r="A116" s="41" t="inlineStr">
        <is>
          <t>2026.02.27 留倉</t>
        </is>
      </c>
      <c r="B116" s="41" t="inlineStr">
        <is>
          <t>買 100股</t>
        </is>
      </c>
      <c r="C116" s="72" t="n">
        <v>-68407</v>
      </c>
    </row>
    <row r="117">
      <c r="A117" s="41" t="inlineStr">
        <is>
          <t>2026.03.05 留倉</t>
        </is>
      </c>
      <c r="B117" s="41" t="inlineStr">
        <is>
          <t>買 100股</t>
        </is>
      </c>
      <c r="C117" s="71" t="n">
        <v>-68311.62</v>
      </c>
    </row>
    <row r="118">
      <c r="A118" s="5" t="n"/>
      <c r="B118" s="41" t="n"/>
      <c r="C118" s="41" t="n"/>
    </row>
    <row r="119">
      <c r="A119" s="5" t="n"/>
      <c r="B119" s="41" t="n"/>
      <c r="C119" s="41" t="n"/>
    </row>
    <row r="120">
      <c r="A120" s="5" t="n"/>
      <c r="B120" s="41" t="n"/>
      <c r="C120" s="41" t="n"/>
    </row>
    <row r="121" ht="30" customHeight="1" s="44">
      <c r="A121" s="68" t="inlineStr">
        <is>
          <t>2026.04.07</t>
        </is>
      </c>
      <c r="B121" s="69" t="n">
        <v>-40053.21</v>
      </c>
      <c r="C121" s="70" t="inlineStr">
        <is>
          <t>損益</t>
        </is>
      </c>
    </row>
    <row r="122">
      <c r="A122" s="72" t="n">
        <v>-65606.5</v>
      </c>
      <c r="B122" s="69">
        <f>+B121+A122</f>
        <v/>
      </c>
      <c r="C122" s="71" t="n"/>
    </row>
    <row r="123">
      <c r="A123" s="72">
        <f>65600.14-1.37</f>
        <v/>
      </c>
      <c r="B123" s="69">
        <f>+B122+A123</f>
        <v/>
      </c>
      <c r="C123" s="71">
        <f>+A122+A123</f>
        <v/>
      </c>
    </row>
    <row r="124">
      <c r="A124" s="72" t="n">
        <v>-65394.5</v>
      </c>
      <c r="B124" s="69">
        <f>+B123+A124</f>
        <v/>
      </c>
      <c r="C124" s="71" t="n"/>
    </row>
    <row r="125">
      <c r="A125" s="72">
        <f>65495.5-1.37</f>
        <v/>
      </c>
      <c r="B125" s="69">
        <f>+B124+A125</f>
        <v/>
      </c>
      <c r="C125" s="71">
        <f>+A124+A125</f>
        <v/>
      </c>
    </row>
    <row r="126">
      <c r="A126" s="72" t="n">
        <v>-65633.5</v>
      </c>
      <c r="B126" s="69">
        <f>+B125+A126</f>
        <v/>
      </c>
      <c r="C126" s="71" t="n"/>
    </row>
    <row r="127">
      <c r="A127" s="72">
        <f>65645-1.37</f>
        <v/>
      </c>
      <c r="B127" s="69">
        <f>+B126+A127</f>
        <v/>
      </c>
      <c r="C127" s="71">
        <f>+A126+A127</f>
        <v/>
      </c>
    </row>
    <row r="128" ht="17.25" customHeight="1" s="44" thickBot="1">
      <c r="A128" s="41" t="n"/>
      <c r="B128" s="72" t="inlineStr">
        <is>
          <t xml:space="preserve">合計 </t>
        </is>
      </c>
      <c r="C128" s="73">
        <f>SUM(C122:C127)</f>
        <v/>
      </c>
    </row>
    <row r="129" ht="17.25" customHeight="1" s="44" thickTop="1">
      <c r="A129" s="41" t="n"/>
      <c r="B129" s="72" t="inlineStr">
        <is>
          <t>核驗</t>
        </is>
      </c>
      <c r="C129" s="74">
        <f>+B127-B121</f>
        <v/>
      </c>
    </row>
    <row r="130">
      <c r="A130" s="41" t="n"/>
      <c r="B130" s="69" t="n"/>
      <c r="C130" s="41" t="n"/>
    </row>
    <row r="131">
      <c r="A131" s="41" t="n"/>
      <c r="B131" s="69" t="n"/>
      <c r="C131" s="41" t="n"/>
    </row>
    <row r="132">
      <c r="A132" s="41" t="inlineStr">
        <is>
          <t>2026.04.07當沖</t>
        </is>
      </c>
      <c r="B132" s="72" t="inlineStr">
        <is>
          <t>買</t>
        </is>
      </c>
      <c r="C132" s="72">
        <f>SUMIF(A122:A127,"&lt;0")</f>
        <v/>
      </c>
    </row>
    <row r="133">
      <c r="A133" s="41">
        <f>"SPY " &amp; COUNT(C122:C127) * 100 &amp; "股"</f>
        <v/>
      </c>
      <c r="B133" s="72" t="inlineStr">
        <is>
          <t>賣</t>
        </is>
      </c>
      <c r="C133" s="72">
        <f>SUMIF(A122:A127,"&gt;0")</f>
        <v/>
      </c>
    </row>
    <row r="134" ht="17.25" customHeight="1" s="44" thickBot="1">
      <c r="A134" s="68" t="n"/>
      <c r="B134" s="72" t="inlineStr">
        <is>
          <t>當日損益</t>
        </is>
      </c>
      <c r="C134" s="73">
        <f>+C132+C133</f>
        <v/>
      </c>
    </row>
    <row r="135" ht="17.25" customHeight="1" s="44" thickTop="1">
      <c r="A135" s="68" t="n"/>
      <c r="B135" s="72" t="inlineStr">
        <is>
          <t>當日損益 %</t>
        </is>
      </c>
      <c r="C135" s="36">
        <f>C134/ABS(C132)</f>
        <v/>
      </c>
    </row>
    <row r="136">
      <c r="A136" s="68" t="n"/>
      <c r="B136" s="41" t="n"/>
      <c r="C136" s="76">
        <f>+A134+A135+A136</f>
        <v/>
      </c>
    </row>
    <row r="137">
      <c r="A137" s="41" t="inlineStr">
        <is>
          <t>累積留倉   200股</t>
        </is>
      </c>
      <c r="B137" s="41" t="n"/>
      <c r="C137" s="41" t="n"/>
    </row>
    <row r="138">
      <c r="A138" s="41" t="inlineStr">
        <is>
          <t>2026.02.27 留倉</t>
        </is>
      </c>
      <c r="B138" s="41" t="inlineStr">
        <is>
          <t>買 100股</t>
        </is>
      </c>
      <c r="C138" s="72" t="n">
        <v>-68407</v>
      </c>
    </row>
    <row r="139">
      <c r="A139" s="41" t="inlineStr">
        <is>
          <t>2026.03.05 留倉</t>
        </is>
      </c>
      <c r="B139" s="41" t="inlineStr">
        <is>
          <t>買 100股</t>
        </is>
      </c>
      <c r="C139" s="71" t="n">
        <v>-68311.62</v>
      </c>
    </row>
    <row r="140">
      <c r="A140" s="5" t="n"/>
      <c r="B140" s="41" t="n"/>
      <c r="C140" s="41" t="n"/>
    </row>
    <row r="141">
      <c r="A141" s="5" t="n"/>
      <c r="B141" s="41" t="n"/>
      <c r="C141" s="41" t="n"/>
    </row>
    <row r="142" ht="30" customHeight="1" s="44">
      <c r="A142" s="68" t="inlineStr">
        <is>
          <t>2026.04.08</t>
        </is>
      </c>
      <c r="B142" s="69" t="n">
        <v>-39863.45</v>
      </c>
      <c r="C142" s="70" t="inlineStr">
        <is>
          <t>損益</t>
        </is>
      </c>
    </row>
    <row r="143">
      <c r="A143" s="72" t="n">
        <v>-67573.5</v>
      </c>
      <c r="B143" s="69">
        <f>+B142+A143</f>
        <v/>
      </c>
      <c r="C143" s="71" t="n"/>
    </row>
    <row r="144">
      <c r="A144" s="72">
        <f>67391.56-1.41</f>
        <v/>
      </c>
      <c r="B144" s="69">
        <f>+B143+A144</f>
        <v/>
      </c>
      <c r="C144" s="71">
        <f>+A143+A144</f>
        <v/>
      </c>
    </row>
    <row r="145">
      <c r="A145" s="72" t="n">
        <v>-67425.49000000001</v>
      </c>
      <c r="B145" s="69">
        <f>+B144+A145</f>
        <v/>
      </c>
      <c r="C145" s="71" t="n"/>
    </row>
    <row r="146">
      <c r="A146" s="72">
        <f>67442.01-1.41</f>
        <v/>
      </c>
      <c r="B146" s="69">
        <f>+B145+A146</f>
        <v/>
      </c>
      <c r="C146" s="71">
        <f>+A145+A146</f>
        <v/>
      </c>
    </row>
    <row r="147">
      <c r="A147" s="72" t="n">
        <v>-67490.64999999999</v>
      </c>
      <c r="B147" s="69">
        <f>+B146+A147</f>
        <v/>
      </c>
      <c r="C147" s="71" t="n"/>
    </row>
    <row r="148">
      <c r="A148" s="72">
        <f>67493.5-1.41</f>
        <v/>
      </c>
      <c r="B148" s="69">
        <f>+B147+A148</f>
        <v/>
      </c>
      <c r="C148" s="71">
        <f>+A147+A148</f>
        <v/>
      </c>
    </row>
    <row r="149">
      <c r="A149" s="72" t="n">
        <v>-23639.83</v>
      </c>
      <c r="B149" s="69">
        <f>+B148+A149</f>
        <v/>
      </c>
      <c r="C149" s="71" t="n"/>
    </row>
    <row r="150">
      <c r="A150" s="72" t="n">
        <v>-43902.54</v>
      </c>
      <c r="B150" s="69">
        <f>+B149+A150</f>
        <v/>
      </c>
      <c r="C150" s="71" t="n"/>
    </row>
    <row r="151">
      <c r="A151" s="72">
        <f>67566.5-1.41</f>
        <v/>
      </c>
      <c r="B151" s="69">
        <f>+B150+A151</f>
        <v/>
      </c>
      <c r="C151" s="71">
        <f>+A149+A150+A151</f>
        <v/>
      </c>
    </row>
    <row r="152">
      <c r="A152" s="72" t="n">
        <v>-67523.13</v>
      </c>
      <c r="B152" s="69">
        <f>+B151+A152</f>
        <v/>
      </c>
      <c r="C152" s="71" t="n"/>
    </row>
    <row r="153">
      <c r="A153" s="72">
        <f>67526.01-1.41</f>
        <v/>
      </c>
      <c r="B153" s="69">
        <f>+B152+A153</f>
        <v/>
      </c>
      <c r="C153" s="71">
        <f>+A152+A153</f>
        <v/>
      </c>
    </row>
    <row r="154">
      <c r="A154" s="72" t="n">
        <v>-67528.97</v>
      </c>
      <c r="B154" s="69">
        <f>+B153+A154</f>
        <v/>
      </c>
      <c r="C154" s="71" t="n"/>
    </row>
    <row r="155">
      <c r="A155" s="72">
        <f>67493.78-1.41</f>
        <v/>
      </c>
      <c r="B155" s="69">
        <f>+B154+A155</f>
        <v/>
      </c>
      <c r="C155" s="71">
        <f>+A154+A155</f>
        <v/>
      </c>
    </row>
    <row r="156">
      <c r="A156" s="72" t="n">
        <v>-67495.5</v>
      </c>
      <c r="B156" s="69">
        <f>+B155+A156</f>
        <v/>
      </c>
      <c r="C156" s="71" t="n"/>
    </row>
    <row r="157">
      <c r="A157" s="72">
        <f>67506.5-1.41</f>
        <v/>
      </c>
      <c r="B157" s="69">
        <f>+B156+A157</f>
        <v/>
      </c>
      <c r="C157" s="71">
        <f>+A156+A157</f>
        <v/>
      </c>
    </row>
    <row r="158">
      <c r="A158" s="72" t="n">
        <v>-67523.87</v>
      </c>
      <c r="B158" s="69">
        <f>+B157+A158</f>
        <v/>
      </c>
      <c r="C158" s="71" t="n"/>
    </row>
    <row r="159">
      <c r="A159" s="72">
        <f>67539.62-1.41</f>
        <v/>
      </c>
      <c r="B159" s="69">
        <f>+B158+A159</f>
        <v/>
      </c>
      <c r="C159" s="71">
        <f>+A158+A159</f>
        <v/>
      </c>
    </row>
    <row r="160">
      <c r="A160" s="72" t="n">
        <v>-67535</v>
      </c>
      <c r="B160" s="69">
        <f>+B159+A160</f>
        <v/>
      </c>
      <c r="C160" s="71" t="n"/>
    </row>
    <row r="161">
      <c r="A161" s="72">
        <f>3376.53-0.07</f>
        <v/>
      </c>
      <c r="B161" s="69">
        <f>+B160+A161</f>
        <v/>
      </c>
      <c r="C161" s="71" t="n"/>
    </row>
    <row r="162">
      <c r="A162" s="72">
        <f>27012-0.57</f>
        <v/>
      </c>
      <c r="B162" s="69">
        <f>+B161+A162</f>
        <v/>
      </c>
      <c r="C162" s="71" t="n"/>
    </row>
    <row r="163">
      <c r="A163" s="72">
        <f>37141.51-0.77</f>
        <v/>
      </c>
      <c r="B163" s="69">
        <f>+B162+A163</f>
        <v/>
      </c>
      <c r="C163" s="71">
        <f>+A163+A162+A161+A160</f>
        <v/>
      </c>
    </row>
    <row r="164">
      <c r="A164" s="72" t="n">
        <v>-67531.5</v>
      </c>
      <c r="B164" s="69">
        <f>+B163+A164</f>
        <v/>
      </c>
      <c r="C164" s="71" t="n"/>
    </row>
    <row r="165">
      <c r="A165" s="72">
        <f>6753.4-0.14</f>
        <v/>
      </c>
      <c r="B165" s="69">
        <f>+B164+A165</f>
        <v/>
      </c>
      <c r="C165" s="71" t="n"/>
    </row>
    <row r="166">
      <c r="A166" s="72">
        <f>60780.61-1.27</f>
        <v/>
      </c>
      <c r="B166" s="69">
        <f>+B165+A166</f>
        <v/>
      </c>
      <c r="C166" s="71">
        <f>+A166+A165+A164</f>
        <v/>
      </c>
    </row>
    <row r="167">
      <c r="A167" s="72" t="n">
        <v>-67564.5</v>
      </c>
      <c r="B167" s="69">
        <f>+B166+A167</f>
        <v/>
      </c>
      <c r="C167" s="71" t="n"/>
    </row>
    <row r="168">
      <c r="A168" s="72">
        <f>67571.5-1.41</f>
        <v/>
      </c>
      <c r="B168" s="69">
        <f>+B167+A168</f>
        <v/>
      </c>
      <c r="C168" s="71">
        <f>+A167+A168</f>
        <v/>
      </c>
    </row>
    <row r="169">
      <c r="A169" s="72" t="n">
        <v>-67559.5</v>
      </c>
      <c r="B169" s="69">
        <f>+B168+A169</f>
        <v/>
      </c>
      <c r="C169" s="71" t="n"/>
    </row>
    <row r="170">
      <c r="A170" s="72">
        <f>67561-1.41</f>
        <v/>
      </c>
      <c r="B170" s="69">
        <f>+B169+A170</f>
        <v/>
      </c>
      <c r="C170" s="71">
        <f>+A169+A170</f>
        <v/>
      </c>
    </row>
    <row r="171" ht="17.25" customHeight="1" s="44" thickBot="1">
      <c r="A171" s="41" t="n"/>
      <c r="B171" s="72" t="inlineStr">
        <is>
          <t xml:space="preserve">合計 </t>
        </is>
      </c>
      <c r="C171" s="73">
        <f>SUM(C143:C170)</f>
        <v/>
      </c>
    </row>
    <row r="172" ht="17.25" customHeight="1" s="44" thickTop="1">
      <c r="A172" s="41" t="n"/>
      <c r="B172" s="72" t="inlineStr">
        <is>
          <t>核驗</t>
        </is>
      </c>
      <c r="C172" s="74">
        <f>+B170-B142</f>
        <v/>
      </c>
    </row>
    <row r="173">
      <c r="A173" s="41" t="n"/>
      <c r="B173" s="69" t="n"/>
      <c r="C173" s="41" t="n"/>
    </row>
    <row r="174">
      <c r="A174" s="41" t="n"/>
      <c r="B174" s="69" t="n"/>
      <c r="C174" s="41" t="n"/>
    </row>
    <row r="175">
      <c r="A175" s="41" t="inlineStr">
        <is>
          <t>2026.04.08當沖</t>
        </is>
      </c>
      <c r="B175" s="72" t="inlineStr">
        <is>
          <t>買</t>
        </is>
      </c>
      <c r="C175" s="72">
        <f>SUMIF(A143:A170,"&lt;0")</f>
        <v/>
      </c>
    </row>
    <row r="176">
      <c r="A176" s="41">
        <f>"SPY " &amp; COUNT(C143:C170) * 100 &amp; "股"</f>
        <v/>
      </c>
      <c r="B176" s="72" t="inlineStr">
        <is>
          <t>賣</t>
        </is>
      </c>
      <c r="C176" s="72">
        <f>SUMIF(A143:A170,"&gt;0")</f>
        <v/>
      </c>
    </row>
    <row r="177" ht="17.25" customHeight="1" s="44" thickBot="1">
      <c r="A177" s="68" t="n"/>
      <c r="B177" s="72" t="inlineStr">
        <is>
          <t>當日損益</t>
        </is>
      </c>
      <c r="C177" s="73">
        <f>+C175+C176</f>
        <v/>
      </c>
    </row>
    <row r="178" ht="17.25" customHeight="1" s="44" thickTop="1">
      <c r="A178" s="68" t="n"/>
      <c r="B178" s="72" t="inlineStr">
        <is>
          <t>當日損益 %</t>
        </is>
      </c>
      <c r="C178" s="36">
        <f>C177/ABS(C175)</f>
        <v/>
      </c>
    </row>
    <row r="179">
      <c r="A179" s="68" t="n"/>
      <c r="B179" s="41" t="n"/>
      <c r="C179" s="76">
        <f>+A177+A178+A179</f>
        <v/>
      </c>
    </row>
    <row r="180">
      <c r="A180" s="41" t="inlineStr">
        <is>
          <t>累積留倉   200股</t>
        </is>
      </c>
      <c r="B180" s="41" t="n"/>
      <c r="C180" s="41" t="n"/>
    </row>
    <row r="181">
      <c r="A181" s="41" t="inlineStr">
        <is>
          <t>2026.02.27 留倉</t>
        </is>
      </c>
      <c r="B181" s="41" t="inlineStr">
        <is>
          <t>買 100股</t>
        </is>
      </c>
      <c r="C181" s="72" t="n">
        <v>-68407</v>
      </c>
    </row>
    <row r="182">
      <c r="A182" s="41" t="inlineStr">
        <is>
          <t>2026.03.05 留倉</t>
        </is>
      </c>
      <c r="B182" s="41" t="inlineStr">
        <is>
          <t>買 100股</t>
        </is>
      </c>
      <c r="C182" s="71" t="n">
        <v>-68311.62</v>
      </c>
    </row>
    <row r="183">
      <c r="A183" s="41" t="n"/>
      <c r="B183" s="41" t="n"/>
      <c r="C183" s="71" t="n"/>
    </row>
    <row r="184">
      <c r="A184" s="5" t="n"/>
      <c r="B184" s="41" t="n"/>
      <c r="C184" s="41" t="n"/>
    </row>
    <row r="185" ht="30" customHeight="1" s="44">
      <c r="A185" s="68" t="inlineStr">
        <is>
          <t>2026.04.09</t>
        </is>
      </c>
      <c r="B185" s="69" t="n">
        <v>-39761.42</v>
      </c>
      <c r="C185" s="70" t="inlineStr">
        <is>
          <t>損益</t>
        </is>
      </c>
    </row>
    <row r="186">
      <c r="A186" s="6" t="n">
        <v>-67533</v>
      </c>
      <c r="B186" s="69">
        <f>+B185+A186</f>
        <v/>
      </c>
      <c r="C186" s="71" t="n"/>
    </row>
    <row r="187">
      <c r="A187" s="6" t="n">
        <v>67522.09</v>
      </c>
      <c r="B187" s="69">
        <f>+B186+A187</f>
        <v/>
      </c>
      <c r="C187" s="71" t="n">
        <v>-10.91</v>
      </c>
    </row>
    <row r="188">
      <c r="A188" s="6" t="n">
        <v>-67495.99000000001</v>
      </c>
      <c r="B188" s="69">
        <f>+B187+A188</f>
        <v/>
      </c>
      <c r="C188" s="71" t="n"/>
    </row>
    <row r="189">
      <c r="A189" s="6" t="n">
        <v>67469.09</v>
      </c>
      <c r="B189" s="69">
        <f>+B188+A189</f>
        <v/>
      </c>
      <c r="C189" s="71" t="n">
        <v>-26.9</v>
      </c>
    </row>
    <row r="190">
      <c r="A190" s="6" t="n">
        <v>-67452.37</v>
      </c>
      <c r="B190" s="69">
        <f>+B189+A190</f>
        <v/>
      </c>
      <c r="C190" s="71" t="n"/>
    </row>
    <row r="191">
      <c r="A191" s="6" t="n">
        <v>67445.59</v>
      </c>
      <c r="B191" s="69">
        <f>+B190+A191</f>
        <v/>
      </c>
      <c r="C191" s="71" t="n">
        <v>-6.78</v>
      </c>
    </row>
    <row r="192">
      <c r="A192" s="6" t="n">
        <v>-67440</v>
      </c>
      <c r="B192" s="69">
        <f>+B191+A192</f>
        <v/>
      </c>
      <c r="C192" s="71" t="n"/>
    </row>
    <row r="193">
      <c r="A193" s="6" t="n">
        <v>67468.42</v>
      </c>
      <c r="B193" s="69">
        <f>+B192+A193</f>
        <v/>
      </c>
      <c r="C193" s="71" t="n">
        <v>28.42</v>
      </c>
    </row>
    <row r="194">
      <c r="A194" s="6" t="n">
        <v>-67493.5</v>
      </c>
      <c r="B194" s="69">
        <f>+B193+A194</f>
        <v/>
      </c>
      <c r="C194" s="71" t="n"/>
    </row>
    <row r="195">
      <c r="A195" s="6" t="n">
        <v>67499.09</v>
      </c>
      <c r="B195" s="69">
        <f>+B194+A195</f>
        <v/>
      </c>
      <c r="C195" s="71" t="n">
        <v>5.59</v>
      </c>
    </row>
    <row r="196">
      <c r="A196" s="6" t="n">
        <v>-67503.5</v>
      </c>
      <c r="B196" s="69">
        <f>+B195+A196</f>
        <v/>
      </c>
      <c r="C196" s="71" t="n"/>
    </row>
    <row r="197">
      <c r="A197" s="6" t="n">
        <v>67511.09</v>
      </c>
      <c r="B197" s="69">
        <f>+B196+A197</f>
        <v/>
      </c>
      <c r="C197" s="71" t="n">
        <v>7.59</v>
      </c>
    </row>
    <row r="198">
      <c r="A198" s="6" t="n">
        <v>-67524.99000000001</v>
      </c>
      <c r="B198" s="69">
        <f>+B197+A198</f>
        <v/>
      </c>
      <c r="C198" s="71" t="n"/>
    </row>
    <row r="199">
      <c r="A199" s="6" t="n">
        <v>67506.09</v>
      </c>
      <c r="B199" s="69">
        <f>+B198+A199</f>
        <v/>
      </c>
      <c r="C199" s="71" t="n">
        <v>-18.9</v>
      </c>
    </row>
    <row r="200">
      <c r="A200" s="6" t="n">
        <v>-67493</v>
      </c>
      <c r="B200" s="69">
        <f>+B199+A200</f>
        <v/>
      </c>
      <c r="C200" s="71" t="n"/>
    </row>
    <row r="201">
      <c r="A201" s="6" t="n">
        <v>67496.47</v>
      </c>
      <c r="B201" s="69">
        <f>+B200+A201</f>
        <v/>
      </c>
      <c r="C201" s="71" t="n">
        <v>3.47</v>
      </c>
    </row>
    <row r="202">
      <c r="A202" s="6" t="n">
        <v>-67506.5</v>
      </c>
      <c r="B202" s="69">
        <f>+B201+A202</f>
        <v/>
      </c>
      <c r="C202" s="71" t="n"/>
    </row>
    <row r="203">
      <c r="A203" s="6" t="n">
        <v>67520.59</v>
      </c>
      <c r="B203" s="69">
        <f>+B202+A203</f>
        <v/>
      </c>
      <c r="C203" s="71" t="n">
        <v>14.09</v>
      </c>
    </row>
    <row r="204">
      <c r="A204" s="6" t="n">
        <v>-67513</v>
      </c>
      <c r="B204" s="69">
        <f>+B203+A204</f>
        <v/>
      </c>
      <c r="C204" s="71" t="n"/>
    </row>
    <row r="205">
      <c r="A205" s="6" t="n">
        <v>54031.27</v>
      </c>
      <c r="B205" s="69">
        <f>+B204+A205</f>
        <v/>
      </c>
      <c r="C205" s="71" t="n"/>
    </row>
    <row r="206">
      <c r="A206" s="6" t="n">
        <v>13507.72</v>
      </c>
      <c r="B206" s="69">
        <f>+B205+A206</f>
        <v/>
      </c>
      <c r="C206" s="71" t="n">
        <v>25.99</v>
      </c>
    </row>
    <row r="207">
      <c r="A207" s="6" t="n">
        <v>-67548.5</v>
      </c>
      <c r="B207" s="69">
        <f>+B206+A207</f>
        <v/>
      </c>
      <c r="C207" s="71" t="n"/>
    </row>
    <row r="208">
      <c r="A208" s="6" t="n">
        <v>67591.92999999999</v>
      </c>
      <c r="B208" s="69">
        <f>+B207+A208</f>
        <v/>
      </c>
      <c r="C208" s="71" t="n">
        <v>43.43</v>
      </c>
    </row>
    <row r="209">
      <c r="A209" s="6" t="n">
        <v>-67595.47</v>
      </c>
      <c r="B209" s="69">
        <f>+B208+A209</f>
        <v/>
      </c>
      <c r="C209" s="71" t="n"/>
    </row>
    <row r="210">
      <c r="A210" s="6" t="n">
        <v>67621.59999999999</v>
      </c>
      <c r="B210" s="69">
        <f>+B209+A210</f>
        <v/>
      </c>
      <c r="C210" s="71" t="n">
        <v>26.13</v>
      </c>
    </row>
    <row r="211">
      <c r="A211" s="6" t="n">
        <v>-67632</v>
      </c>
      <c r="B211" s="69">
        <f>+B210+A211</f>
        <v/>
      </c>
      <c r="C211" s="71" t="n"/>
    </row>
    <row r="212">
      <c r="A212" s="6" t="n">
        <v>67613.09</v>
      </c>
      <c r="B212" s="69">
        <f>+B211+A212</f>
        <v/>
      </c>
      <c r="C212" s="71" t="n">
        <v>-18.91</v>
      </c>
    </row>
    <row r="213">
      <c r="A213" s="6" t="n">
        <v>-27098.2</v>
      </c>
      <c r="B213" s="69">
        <f>+B212+A213</f>
        <v/>
      </c>
      <c r="C213" s="71" t="n"/>
    </row>
    <row r="214">
      <c r="A214" s="6" t="n">
        <v>-40647.3</v>
      </c>
      <c r="B214" s="69">
        <f>+B213+A214</f>
        <v/>
      </c>
      <c r="C214" s="71" t="n"/>
    </row>
    <row r="215">
      <c r="A215" s="6" t="n">
        <v>67767.08</v>
      </c>
      <c r="B215" s="69">
        <f>+B214+A215</f>
        <v/>
      </c>
      <c r="C215" s="71" t="n">
        <v>21.58</v>
      </c>
    </row>
    <row r="216" ht="17.25" customHeight="1" s="44" thickBot="1">
      <c r="A216" s="41" t="n"/>
      <c r="B216" s="72" t="inlineStr">
        <is>
          <t xml:space="preserve">合計 </t>
        </is>
      </c>
      <c r="C216" s="73">
        <f>SUM(C186:C215)</f>
        <v/>
      </c>
    </row>
    <row r="217" ht="17.25" customHeight="1" s="44" thickTop="1">
      <c r="A217" s="41" t="n"/>
      <c r="B217" s="72" t="inlineStr">
        <is>
          <t>核驗</t>
        </is>
      </c>
      <c r="C217" s="74">
        <f>+B215-B185</f>
        <v/>
      </c>
    </row>
    <row r="218">
      <c r="A218" s="41" t="n"/>
      <c r="B218" s="69" t="n"/>
      <c r="C218" s="41" t="n"/>
    </row>
    <row r="219">
      <c r="A219" s="41" t="n"/>
      <c r="B219" s="69" t="n"/>
      <c r="C219" s="41" t="n"/>
    </row>
    <row r="220">
      <c r="A220" s="41" t="inlineStr">
        <is>
          <t>2026.04.09當沖</t>
        </is>
      </c>
      <c r="B220" s="72" t="inlineStr">
        <is>
          <t>買</t>
        </is>
      </c>
      <c r="C220" s="72">
        <f>SUMIF(A186:A215,"&lt;0")</f>
        <v/>
      </c>
    </row>
    <row r="221">
      <c r="A221" s="41">
        <f>"SPY " &amp; COUNT(C186:C215) * 100 &amp; "股"</f>
        <v/>
      </c>
      <c r="B221" s="72" t="inlineStr">
        <is>
          <t>賣</t>
        </is>
      </c>
      <c r="C221" s="72">
        <f>SUMIF(A186:A215,"&gt;0")</f>
        <v/>
      </c>
    </row>
    <row r="222" ht="17.25" customHeight="1" s="44" thickBot="1">
      <c r="A222" s="68" t="n"/>
      <c r="B222" s="72" t="inlineStr">
        <is>
          <t>當日損益</t>
        </is>
      </c>
      <c r="C222" s="73">
        <f>+C220+C221</f>
        <v/>
      </c>
    </row>
    <row r="223" ht="17.25" customHeight="1" s="44" thickTop="1">
      <c r="A223" s="68" t="n"/>
      <c r="B223" s="72" t="inlineStr">
        <is>
          <t>當日損益 %</t>
        </is>
      </c>
      <c r="C223" s="36">
        <f>C222/ABS(C220)</f>
        <v/>
      </c>
    </row>
    <row r="224">
      <c r="A224" s="68" t="n"/>
      <c r="B224" s="41" t="n"/>
      <c r="C224" s="76">
        <f>+A222+A223+A224</f>
        <v/>
      </c>
    </row>
    <row r="225">
      <c r="A225" s="41" t="inlineStr">
        <is>
          <t>累積留倉   200股</t>
        </is>
      </c>
      <c r="B225" s="41" t="n"/>
      <c r="C225" s="41" t="n"/>
    </row>
    <row r="226">
      <c r="A226" s="41" t="inlineStr">
        <is>
          <t>2026.02.27 留倉</t>
        </is>
      </c>
      <c r="B226" s="41" t="inlineStr">
        <is>
          <t>買 100股</t>
        </is>
      </c>
      <c r="C226" s="72" t="n">
        <v>-68407</v>
      </c>
    </row>
    <row r="227">
      <c r="A227" s="41" t="inlineStr">
        <is>
          <t>2026.03.05 留倉</t>
        </is>
      </c>
      <c r="B227" s="41" t="inlineStr">
        <is>
          <t>買 100股</t>
        </is>
      </c>
      <c r="C227" s="71" t="n">
        <v>-68311.62</v>
      </c>
    </row>
    <row r="228">
      <c r="A228" s="5" t="n"/>
      <c r="B228" s="41" t="n"/>
      <c r="C228" s="41" t="n"/>
    </row>
    <row r="229">
      <c r="A229" s="5" t="n"/>
      <c r="B229" s="41" t="n"/>
      <c r="C229" s="41" t="n"/>
    </row>
    <row r="230" ht="30.75" customHeight="1" s="44" thickBot="1">
      <c r="A230" s="68" t="inlineStr">
        <is>
          <t>2026.04.10</t>
        </is>
      </c>
      <c r="B230" s="69" t="n">
        <v>-39916.29</v>
      </c>
      <c r="C230" s="70" t="inlineStr">
        <is>
          <t>損益</t>
        </is>
      </c>
    </row>
    <row r="231" ht="17.25" customHeight="1" s="44" thickBot="1">
      <c r="A231" s="7" t="n">
        <v>-8170.2</v>
      </c>
      <c r="B231" s="69">
        <f>+B230+A231</f>
        <v/>
      </c>
      <c r="C231" s="71" t="n"/>
    </row>
    <row r="232" ht="17.25" customHeight="1" s="44" thickBot="1">
      <c r="A232" s="7" t="n">
        <v>-59915.67</v>
      </c>
      <c r="B232" s="69">
        <f>+B231+A232</f>
        <v/>
      </c>
      <c r="C232" s="71" t="n"/>
    </row>
    <row r="233" ht="17.25" customHeight="1" s="44" thickBot="1">
      <c r="A233" s="7" t="n">
        <v>68025.08</v>
      </c>
      <c r="B233" s="69">
        <f>+B232+A233</f>
        <v/>
      </c>
      <c r="C233" s="71" t="n">
        <v>-60.79</v>
      </c>
    </row>
    <row r="234" ht="17.25" customHeight="1" s="44" thickBot="1">
      <c r="A234" s="7" t="n">
        <v>-68077.41</v>
      </c>
      <c r="B234" s="69">
        <f>+B233+A234</f>
        <v/>
      </c>
      <c r="C234" s="71" t="n"/>
    </row>
    <row r="235" ht="17.25" customHeight="1" s="44" thickBot="1">
      <c r="A235" s="7" t="n">
        <v>68116.88</v>
      </c>
      <c r="B235" s="69">
        <f>+B234+A235</f>
        <v/>
      </c>
      <c r="C235" s="71" t="n">
        <v>39.47</v>
      </c>
    </row>
    <row r="236" ht="17.25" customHeight="1" s="44" thickBot="1">
      <c r="A236" s="7" t="n">
        <v>-68138.17</v>
      </c>
      <c r="B236" s="69">
        <f>+B235+A236</f>
        <v/>
      </c>
      <c r="C236" s="71" t="n"/>
    </row>
    <row r="237" ht="17.25" customHeight="1" s="44" thickBot="1">
      <c r="A237" s="7" t="n">
        <v>68131.5</v>
      </c>
      <c r="B237" s="69">
        <f>+B236+A237</f>
        <v/>
      </c>
      <c r="C237" s="71" t="n">
        <v>-6.67</v>
      </c>
    </row>
    <row r="238" ht="17.25" customHeight="1" s="44" thickBot="1">
      <c r="A238" s="7" t="n">
        <v>-68120.31</v>
      </c>
      <c r="B238" s="69">
        <f>+B237+A238</f>
        <v/>
      </c>
      <c r="C238" s="71" t="n"/>
    </row>
    <row r="239" ht="17.25" customHeight="1" s="44" thickBot="1">
      <c r="A239" s="7" t="n">
        <v>3406.21</v>
      </c>
      <c r="B239" s="69">
        <f>+B238+A239</f>
        <v/>
      </c>
      <c r="C239" s="71" t="n"/>
    </row>
    <row r="240" ht="17.25" customHeight="1" s="44" thickBot="1">
      <c r="A240" s="7" t="n">
        <v>27249.43</v>
      </c>
      <c r="B240" s="69">
        <f>+B239+A240</f>
        <v/>
      </c>
      <c r="C240" s="71" t="n"/>
    </row>
    <row r="241" ht="17.25" customHeight="1" s="44" thickBot="1">
      <c r="A241" s="7" t="n">
        <v>8855.950000000001</v>
      </c>
      <c r="B241" s="69">
        <f>+B240+A241</f>
        <v/>
      </c>
      <c r="C241" s="71" t="n"/>
    </row>
    <row r="242" ht="17.25" customHeight="1" s="44" thickBot="1">
      <c r="A242" s="7" t="n">
        <v>28611.48</v>
      </c>
      <c r="B242" s="69">
        <f>+B241+A242</f>
        <v/>
      </c>
      <c r="C242" s="71" t="n">
        <v>2.76</v>
      </c>
    </row>
    <row r="243" ht="17.25" customHeight="1" s="44" thickBot="1">
      <c r="A243" s="7" t="n">
        <v>-68145.99000000001</v>
      </c>
      <c r="B243" s="69">
        <f>+B242+A243</f>
        <v/>
      </c>
      <c r="C243" s="71" t="n"/>
    </row>
    <row r="244" ht="17.25" customHeight="1" s="44" thickBot="1">
      <c r="A244" s="7" t="n">
        <v>68148.89</v>
      </c>
      <c r="B244" s="69">
        <f>+B243+A244</f>
        <v/>
      </c>
      <c r="C244" s="71" t="n">
        <v>2.9</v>
      </c>
    </row>
    <row r="245" ht="17.25" customHeight="1" s="44" thickBot="1">
      <c r="A245" s="7" t="n">
        <v>-68133.74000000001</v>
      </c>
      <c r="B245" s="69">
        <f>+B244+A245</f>
        <v/>
      </c>
      <c r="C245" s="71" t="n"/>
    </row>
    <row r="246" ht="17.25" customHeight="1" s="44" thickBot="1">
      <c r="A246" s="7" t="n">
        <v>68148.58</v>
      </c>
      <c r="B246" s="69">
        <f>+B245+A246</f>
        <v/>
      </c>
      <c r="C246" s="71" t="n">
        <v>14.84</v>
      </c>
    </row>
    <row r="247" ht="17.25" customHeight="1" s="44" thickBot="1">
      <c r="A247" s="8" t="n">
        <v>-68068</v>
      </c>
      <c r="B247" s="69">
        <f>+B246+A247</f>
        <v/>
      </c>
      <c r="C247" s="71" t="n"/>
    </row>
    <row r="248" ht="17.25" customHeight="1" s="44" thickBot="1">
      <c r="A248" s="7" t="n">
        <v>-67920.66</v>
      </c>
      <c r="B248" s="69">
        <f>+B247+A248</f>
        <v/>
      </c>
      <c r="C248" s="71" t="n"/>
    </row>
    <row r="249" ht="17.25" customHeight="1" s="44" thickBot="1">
      <c r="A249" s="7" t="n">
        <v>54362.06</v>
      </c>
      <c r="B249" s="69">
        <f>+B248+A249</f>
        <v/>
      </c>
      <c r="C249" s="71" t="n"/>
    </row>
    <row r="250" ht="17.25" customHeight="1" s="44" thickBot="1">
      <c r="A250" s="7" t="n">
        <v>13590.32</v>
      </c>
      <c r="B250" s="69">
        <f>+B249+A250</f>
        <v/>
      </c>
      <c r="C250" s="71" t="n">
        <v>31.72</v>
      </c>
    </row>
    <row r="251" ht="17.25" customHeight="1" s="44" thickBot="1">
      <c r="A251" s="7" t="n">
        <v>-40742.39</v>
      </c>
      <c r="B251" s="69">
        <f>+B250+A251</f>
        <v/>
      </c>
      <c r="C251" s="71" t="n"/>
    </row>
    <row r="252" ht="17.25" customHeight="1" s="44" thickBot="1">
      <c r="A252" s="7" t="n">
        <v>-27161.6</v>
      </c>
      <c r="B252" s="69">
        <f>+B251+A252</f>
        <v/>
      </c>
      <c r="C252" s="71" t="n"/>
    </row>
    <row r="253" ht="17.25" customHeight="1" s="44" thickBot="1">
      <c r="A253" s="7" t="n">
        <v>67854.74000000001</v>
      </c>
      <c r="B253" s="69">
        <f>+B252+A253</f>
        <v/>
      </c>
      <c r="C253" s="71" t="n">
        <v>-49.25</v>
      </c>
    </row>
    <row r="254" ht="17.25" customHeight="1" s="44" thickBot="1">
      <c r="A254" s="7" t="n">
        <v>-67938.5</v>
      </c>
      <c r="B254" s="69">
        <f>+B253+A254</f>
        <v/>
      </c>
      <c r="C254" s="71" t="n"/>
    </row>
    <row r="255" ht="17.25" customHeight="1" s="44" thickBot="1">
      <c r="A255" s="7" t="n">
        <v>37372.28</v>
      </c>
      <c r="B255" s="69">
        <f>+B254+A255</f>
        <v/>
      </c>
      <c r="C255" s="71" t="n"/>
    </row>
    <row r="256" ht="17.25" customHeight="1" s="44" thickBot="1">
      <c r="A256" s="7" t="n">
        <v>30577.31</v>
      </c>
      <c r="B256" s="69">
        <f>+B255+A256</f>
        <v/>
      </c>
      <c r="C256" s="71" t="n">
        <v>11.09</v>
      </c>
    </row>
    <row r="257" ht="17.25" customHeight="1" s="44" thickBot="1">
      <c r="A257" s="8" t="n">
        <v>67940.00999999999</v>
      </c>
      <c r="B257" s="69">
        <f>+B256+A257</f>
        <v/>
      </c>
      <c r="C257" s="71" t="n">
        <v>-127.99</v>
      </c>
    </row>
    <row r="258" ht="17.25" customHeight="1" s="44" thickBot="1">
      <c r="A258" s="41" t="n"/>
      <c r="B258" s="72" t="inlineStr">
        <is>
          <t xml:space="preserve">合計 </t>
        </is>
      </c>
      <c r="C258" s="73">
        <f>SUM(C231:C257)</f>
        <v/>
      </c>
    </row>
    <row r="259" ht="17.25" customHeight="1" s="44" thickTop="1">
      <c r="A259" s="41" t="n"/>
      <c r="B259" s="72" t="inlineStr">
        <is>
          <t>核驗</t>
        </is>
      </c>
      <c r="C259" s="74">
        <f>+B257-B230</f>
        <v/>
      </c>
    </row>
    <row r="260">
      <c r="A260" s="41" t="n"/>
      <c r="B260" s="69" t="n"/>
      <c r="C260" s="41" t="n"/>
    </row>
    <row r="261">
      <c r="A261" s="41" t="n"/>
      <c r="B261" s="69" t="n"/>
      <c r="C261" s="41" t="n"/>
    </row>
    <row r="262">
      <c r="A262" s="41" t="inlineStr">
        <is>
          <t>2026.04.10當沖</t>
        </is>
      </c>
      <c r="B262" s="72" t="inlineStr">
        <is>
          <t>買</t>
        </is>
      </c>
      <c r="C262" s="72">
        <f>SUMIF(A228:A257,"&lt;0")</f>
        <v/>
      </c>
    </row>
    <row r="263">
      <c r="A263" s="41">
        <f>"SPY " &amp; COUNT(C228:C257) * 100 &amp; "股"</f>
        <v/>
      </c>
      <c r="B263" s="72" t="inlineStr">
        <is>
          <t>賣</t>
        </is>
      </c>
      <c r="C263" s="72">
        <f>SUMIF(A228:A257,"&gt;0")</f>
        <v/>
      </c>
    </row>
    <row r="264" ht="17.25" customHeight="1" s="44" thickBot="1">
      <c r="A264" s="68" t="n"/>
      <c r="B264" s="72" t="inlineStr">
        <is>
          <t>當日損益</t>
        </is>
      </c>
      <c r="C264" s="73">
        <f>+C262+C263</f>
        <v/>
      </c>
    </row>
    <row r="265" ht="17.25" customHeight="1" s="44" thickTop="1">
      <c r="A265" s="68" t="n"/>
      <c r="B265" s="72" t="inlineStr">
        <is>
          <t>當日損益 %</t>
        </is>
      </c>
      <c r="C265" s="36">
        <f>C264/ABS(C262)</f>
        <v/>
      </c>
    </row>
    <row r="266">
      <c r="A266" s="68" t="n"/>
      <c r="B266" s="41" t="n"/>
      <c r="C266" s="76">
        <f>+A264+A265+A266</f>
        <v/>
      </c>
    </row>
    <row r="267">
      <c r="A267" s="41" t="inlineStr">
        <is>
          <t>累積留倉   200股</t>
        </is>
      </c>
      <c r="B267" s="41" t="n"/>
      <c r="C267" s="41" t="n"/>
    </row>
    <row r="268">
      <c r="A268" s="41" t="inlineStr">
        <is>
          <t>2026.02.27 留倉</t>
        </is>
      </c>
      <c r="B268" s="41" t="inlineStr">
        <is>
          <t>買 100股</t>
        </is>
      </c>
      <c r="C268" s="72" t="n">
        <v>-68407</v>
      </c>
    </row>
    <row r="269">
      <c r="A269" s="41" t="inlineStr">
        <is>
          <t>2026.03.05 留倉</t>
        </is>
      </c>
      <c r="B269" s="41" t="inlineStr">
        <is>
          <t>買 100股</t>
        </is>
      </c>
      <c r="C269" s="71" t="n">
        <v>-68311.62</v>
      </c>
    </row>
    <row r="270">
      <c r="A270" s="5" t="n"/>
      <c r="B270" s="41" t="n"/>
      <c r="C270" s="41" t="n"/>
    </row>
    <row r="271">
      <c r="A271" s="5" t="n"/>
      <c r="B271" s="41" t="n"/>
      <c r="C271" s="41" t="n"/>
    </row>
    <row r="272">
      <c r="A272" s="5" t="n"/>
      <c r="B272" s="41" t="n"/>
      <c r="C272" s="41" t="n"/>
    </row>
    <row r="273" ht="30" customHeight="1" s="44">
      <c r="A273" s="68" t="inlineStr">
        <is>
          <t>2026.04.13</t>
        </is>
      </c>
      <c r="B273" s="69" t="n">
        <v>-39822.4</v>
      </c>
      <c r="C273" s="70" t="inlineStr">
        <is>
          <t>損益</t>
        </is>
      </c>
    </row>
    <row r="274">
      <c r="A274" s="2" t="n">
        <v>67930.58</v>
      </c>
      <c r="B274" s="69">
        <f>+B273+A274</f>
        <v/>
      </c>
      <c r="C274" s="71" t="n"/>
    </row>
    <row r="275">
      <c r="A275" s="2" t="n">
        <v>-61142.84</v>
      </c>
      <c r="B275" s="69">
        <f>+B274+A275</f>
        <v/>
      </c>
      <c r="C275" s="71" t="n"/>
    </row>
    <row r="276">
      <c r="A276" s="2" t="n">
        <v>-6793.65</v>
      </c>
      <c r="B276" s="69">
        <f>+B275+A276</f>
        <v/>
      </c>
      <c r="C276" s="71" t="n">
        <v>-5.91</v>
      </c>
    </row>
    <row r="277">
      <c r="A277" s="2" t="n">
        <v>67892.08</v>
      </c>
      <c r="B277" s="69">
        <f>+B276+A277</f>
        <v/>
      </c>
      <c r="C277" s="71" t="n"/>
    </row>
    <row r="278">
      <c r="A278" s="2" t="n">
        <v>-67872</v>
      </c>
      <c r="B278" s="69">
        <f>+B277+A278</f>
        <v/>
      </c>
      <c r="C278" s="71" t="n">
        <v>20.08</v>
      </c>
    </row>
    <row r="279">
      <c r="A279" s="2" t="n">
        <v>-67994.5</v>
      </c>
      <c r="B279" s="69">
        <f>+B278+A279</f>
        <v/>
      </c>
      <c r="C279" s="71" t="n"/>
    </row>
    <row r="280">
      <c r="A280" s="2" t="n">
        <v>67938.36</v>
      </c>
      <c r="B280" s="69">
        <f>+B279+A280</f>
        <v/>
      </c>
      <c r="C280" s="71" t="n">
        <v>-56.14</v>
      </c>
    </row>
    <row r="281">
      <c r="A281" s="2" t="n">
        <v>67940.58</v>
      </c>
      <c r="B281" s="69">
        <f>+B280+A281</f>
        <v/>
      </c>
      <c r="C281" s="71" t="n"/>
    </row>
    <row r="282">
      <c r="A282" s="2" t="n">
        <v>-67952.00999999999</v>
      </c>
      <c r="B282" s="69">
        <f>+B281+A282</f>
        <v/>
      </c>
      <c r="C282" s="71" t="n">
        <v>-11.43</v>
      </c>
    </row>
    <row r="283">
      <c r="A283" s="2" t="n">
        <v>-67960</v>
      </c>
      <c r="B283" s="69">
        <f>+B282+A283</f>
        <v/>
      </c>
      <c r="C283" s="71" t="n"/>
    </row>
    <row r="284">
      <c r="A284" s="2" t="n">
        <v>67961.08</v>
      </c>
      <c r="B284" s="69">
        <f>+B283+A284</f>
        <v/>
      </c>
      <c r="C284" s="71" t="n">
        <v>1.08</v>
      </c>
    </row>
    <row r="285">
      <c r="A285" s="2" t="n">
        <v>-68040.5</v>
      </c>
      <c r="B285" s="69">
        <f>+B284+A285</f>
        <v/>
      </c>
      <c r="C285" s="71" t="n"/>
    </row>
    <row r="286">
      <c r="A286" s="2" t="n">
        <v>68043.08</v>
      </c>
      <c r="B286" s="69">
        <f>+B285+A286</f>
        <v/>
      </c>
      <c r="C286" s="71" t="n">
        <v>2.58</v>
      </c>
    </row>
    <row r="287">
      <c r="A287" s="2" t="n">
        <v>67994.89</v>
      </c>
      <c r="B287" s="69">
        <f>+B286+A287</f>
        <v/>
      </c>
      <c r="C287" s="71" t="n"/>
    </row>
    <row r="288">
      <c r="A288" s="2" t="n">
        <v>-58501.89</v>
      </c>
      <c r="B288" s="69">
        <f>+B287+A288</f>
        <v/>
      </c>
      <c r="C288" s="71" t="n"/>
    </row>
    <row r="289">
      <c r="A289" s="2" t="n">
        <v>-9523.559999999999</v>
      </c>
      <c r="B289" s="69">
        <f>+B288+A289</f>
        <v/>
      </c>
      <c r="C289" s="71" t="n">
        <v>-30.56</v>
      </c>
    </row>
    <row r="290">
      <c r="A290" s="2" t="n">
        <v>-67996.5</v>
      </c>
      <c r="B290" s="69">
        <f>+B289+A290</f>
        <v/>
      </c>
      <c r="C290" s="71" t="n"/>
    </row>
    <row r="291">
      <c r="A291" s="2" t="n">
        <v>68008.08</v>
      </c>
      <c r="B291" s="69">
        <f>+B290+A291</f>
        <v/>
      </c>
      <c r="C291" s="71" t="n">
        <v>11.58</v>
      </c>
    </row>
    <row r="292">
      <c r="A292" s="2" t="n">
        <v>67961.08</v>
      </c>
      <c r="B292" s="69">
        <f>+B291+A292</f>
        <v/>
      </c>
      <c r="C292" s="71" t="n"/>
    </row>
    <row r="293">
      <c r="A293" s="2" t="n">
        <v>-67994</v>
      </c>
      <c r="B293" s="69">
        <f>+B292+A293</f>
        <v/>
      </c>
      <c r="C293" s="71" t="n">
        <v>-32.92</v>
      </c>
    </row>
    <row r="294">
      <c r="A294" s="2" t="n">
        <v>-9519.860000000001</v>
      </c>
      <c r="B294" s="69">
        <f>+B293+A294</f>
        <v/>
      </c>
      <c r="C294" s="71" t="n"/>
    </row>
    <row r="295">
      <c r="A295" s="2" t="n">
        <v>-27199.59</v>
      </c>
      <c r="B295" s="69">
        <f>+B294+A295</f>
        <v/>
      </c>
      <c r="C295" s="71" t="n"/>
    </row>
    <row r="296">
      <c r="A296" s="2" t="n">
        <v>-31279.54</v>
      </c>
      <c r="B296" s="69">
        <f>+B295+A296</f>
        <v/>
      </c>
      <c r="C296" s="71" t="n"/>
    </row>
    <row r="297">
      <c r="A297" s="2" t="n">
        <v>679.6</v>
      </c>
      <c r="B297" s="69">
        <f>+B296+A297</f>
        <v/>
      </c>
      <c r="C297" s="71" t="n"/>
    </row>
    <row r="298">
      <c r="A298" s="2" t="n">
        <v>67279.8</v>
      </c>
      <c r="B298" s="69">
        <f>+B297+A298</f>
        <v/>
      </c>
      <c r="C298" s="71" t="n">
        <v>-39.59</v>
      </c>
    </row>
    <row r="299">
      <c r="A299" s="2" t="n">
        <v>67950.58</v>
      </c>
      <c r="B299" s="69">
        <f>+B298+A299</f>
        <v/>
      </c>
      <c r="C299" s="71" t="n"/>
    </row>
    <row r="300">
      <c r="A300" s="2" t="n">
        <v>-27181.6</v>
      </c>
      <c r="B300" s="69">
        <f>+B299+A300</f>
        <v/>
      </c>
      <c r="C300" s="71" t="n"/>
    </row>
    <row r="301">
      <c r="A301" s="2" t="n">
        <v>-40772.4</v>
      </c>
      <c r="B301" s="69">
        <f>+B300+A301</f>
        <v/>
      </c>
      <c r="C301" s="71" t="n">
        <v>-3.42</v>
      </c>
    </row>
    <row r="302">
      <c r="A302" s="2" t="n">
        <v>67951.59</v>
      </c>
      <c r="B302" s="69">
        <f>+B301+A302</f>
        <v/>
      </c>
      <c r="C302" s="71" t="n"/>
    </row>
    <row r="303">
      <c r="A303" s="2" t="n">
        <v>-67972.5</v>
      </c>
      <c r="B303" s="69">
        <f>+B302+A303</f>
        <v/>
      </c>
      <c r="C303" s="71" t="n">
        <v>-20.91</v>
      </c>
    </row>
    <row r="304">
      <c r="A304" s="2" t="n">
        <v>-67940.99000000001</v>
      </c>
      <c r="B304" s="69">
        <f>+B303+A304</f>
        <v/>
      </c>
      <c r="C304" s="71" t="n"/>
    </row>
    <row r="305">
      <c r="A305" s="2" t="n">
        <v>40770.36</v>
      </c>
      <c r="B305" s="69">
        <f>+B304+A305</f>
        <v/>
      </c>
      <c r="C305" s="71" t="n"/>
    </row>
    <row r="306">
      <c r="A306" s="2" t="n">
        <v>27180.23</v>
      </c>
      <c r="B306" s="69">
        <f>+B305+A306</f>
        <v/>
      </c>
      <c r="C306" s="71" t="n">
        <v>9.6</v>
      </c>
    </row>
    <row r="307">
      <c r="A307" s="2" t="n">
        <v>-67946.08</v>
      </c>
      <c r="B307" s="69">
        <f>+B306+A307</f>
        <v/>
      </c>
      <c r="C307" s="71" t="n"/>
    </row>
    <row r="308">
      <c r="A308" s="2" t="n">
        <v>67962.59</v>
      </c>
      <c r="B308" s="69">
        <f>+B307+A308</f>
        <v/>
      </c>
      <c r="C308" s="71" t="n">
        <v>16.51</v>
      </c>
    </row>
    <row r="309">
      <c r="A309" s="2" t="n">
        <v>-67963.99000000001</v>
      </c>
      <c r="B309" s="69">
        <f>+B308+A309</f>
        <v/>
      </c>
      <c r="C309" s="71" t="n"/>
    </row>
    <row r="310">
      <c r="A310" s="2" t="n">
        <v>67996.58</v>
      </c>
      <c r="B310" s="69">
        <f>+B309+A310</f>
        <v/>
      </c>
      <c r="C310" s="71" t="n">
        <v>32.59</v>
      </c>
    </row>
    <row r="311">
      <c r="A311" s="2" t="n">
        <v>-67960.96000000001</v>
      </c>
      <c r="B311" s="69">
        <f>+B310+A311</f>
        <v/>
      </c>
      <c r="C311" s="71" t="n"/>
    </row>
    <row r="312">
      <c r="A312" s="2" t="n">
        <v>67937.08</v>
      </c>
      <c r="B312" s="69">
        <f>+B311+A312</f>
        <v/>
      </c>
      <c r="C312" s="71" t="n">
        <v>-23.88</v>
      </c>
    </row>
    <row r="313">
      <c r="A313" s="2" t="n">
        <v>-67908.99000000001</v>
      </c>
      <c r="B313" s="69">
        <f>+B312+A313</f>
        <v/>
      </c>
      <c r="C313" s="71" t="n"/>
    </row>
    <row r="314">
      <c r="A314" s="2" t="n">
        <v>67921.08</v>
      </c>
      <c r="B314" s="69">
        <f>+B313+A314</f>
        <v/>
      </c>
      <c r="C314" s="71" t="n">
        <v>12.09</v>
      </c>
    </row>
    <row r="315">
      <c r="A315" s="2" t="n">
        <v>-67921</v>
      </c>
      <c r="B315" s="69">
        <f>+B314+A315</f>
        <v/>
      </c>
      <c r="C315" s="71" t="n"/>
    </row>
    <row r="316">
      <c r="A316" s="2" t="n">
        <v>67958.08</v>
      </c>
      <c r="B316" s="69">
        <f>+B315+A316</f>
        <v/>
      </c>
      <c r="C316" s="71" t="n">
        <v>37.08</v>
      </c>
    </row>
    <row r="317">
      <c r="A317" s="2" t="n">
        <v>-67987</v>
      </c>
      <c r="B317" s="69">
        <f>+B316+A317</f>
        <v/>
      </c>
      <c r="C317" s="71" t="n"/>
    </row>
    <row r="318">
      <c r="A318" s="2" t="n">
        <v>67988.97</v>
      </c>
      <c r="B318" s="69">
        <f>+B317+A318</f>
        <v/>
      </c>
      <c r="C318" s="71" t="n">
        <v>1.97</v>
      </c>
    </row>
    <row r="319">
      <c r="A319" s="2" t="n">
        <v>-68231.5</v>
      </c>
      <c r="B319" s="69">
        <f>+B318+A319</f>
        <v/>
      </c>
      <c r="C319" s="71" t="n"/>
    </row>
    <row r="320">
      <c r="A320" s="2" t="n">
        <v>27293.03</v>
      </c>
      <c r="B320" s="69">
        <f>+B319+A320</f>
        <v/>
      </c>
      <c r="C320" s="71" t="n"/>
    </row>
    <row r="321">
      <c r="A321" s="2" t="n">
        <v>40938.95</v>
      </c>
      <c r="B321" s="69">
        <f>+B320+A321</f>
        <v/>
      </c>
      <c r="C321" s="71" t="n">
        <v>0.48</v>
      </c>
    </row>
    <row r="322">
      <c r="A322" s="2" t="n">
        <v>-68241</v>
      </c>
      <c r="B322" s="69">
        <f>+B321+A322</f>
        <v/>
      </c>
      <c r="C322" s="71" t="n"/>
    </row>
    <row r="323">
      <c r="A323" s="2" t="n">
        <v>68237.47</v>
      </c>
      <c r="B323" s="69">
        <f>+B322+A323</f>
        <v/>
      </c>
      <c r="C323" s="71" t="n">
        <v>-3.53</v>
      </c>
    </row>
    <row r="324" ht="17.25" customHeight="1" s="44" thickBot="1">
      <c r="A324" s="41" t="n"/>
      <c r="B324" s="72" t="inlineStr">
        <is>
          <t xml:space="preserve">合計 </t>
        </is>
      </c>
      <c r="C324" s="73">
        <f>SUM(C274:C323)</f>
        <v/>
      </c>
    </row>
    <row r="325" ht="17.25" customHeight="1" s="44" thickTop="1">
      <c r="A325" s="41" t="n"/>
      <c r="B325" s="72" t="inlineStr">
        <is>
          <t>核驗</t>
        </is>
      </c>
      <c r="C325" s="74">
        <f>+B323-B273</f>
        <v/>
      </c>
    </row>
    <row r="326">
      <c r="A326" s="41" t="n"/>
      <c r="B326" s="69" t="n"/>
      <c r="C326" s="41" t="n"/>
    </row>
    <row r="327">
      <c r="A327" s="41" t="n"/>
      <c r="B327" s="69" t="n"/>
      <c r="C327" s="41" t="n"/>
    </row>
    <row r="328">
      <c r="A328" s="41" t="inlineStr">
        <is>
          <t>2026.04.13當沖</t>
        </is>
      </c>
      <c r="B328" s="72" t="inlineStr">
        <is>
          <t>買</t>
        </is>
      </c>
      <c r="C328" s="72">
        <f>SUMIF(A274:A323,"&lt;0")</f>
        <v/>
      </c>
    </row>
    <row r="329">
      <c r="A329" s="41">
        <f>"SPY " &amp; COUNT(C274:C323) * 100 &amp; "股"</f>
        <v/>
      </c>
      <c r="B329" s="72" t="inlineStr">
        <is>
          <t>賣</t>
        </is>
      </c>
      <c r="C329" s="72">
        <f>SUMIF(A274:A323,"&gt;0")</f>
        <v/>
      </c>
    </row>
    <row r="330" ht="17.25" customHeight="1" s="44" thickBot="1">
      <c r="A330" s="68" t="n"/>
      <c r="B330" s="72" t="inlineStr">
        <is>
          <t>當日損益</t>
        </is>
      </c>
      <c r="C330" s="73">
        <f>+C328+C329</f>
        <v/>
      </c>
    </row>
    <row r="331" ht="17.25" customHeight="1" s="44" thickTop="1">
      <c r="A331" s="68" t="n"/>
      <c r="B331" s="72" t="inlineStr">
        <is>
          <t>當日損益 %</t>
        </is>
      </c>
      <c r="C331" s="36">
        <f>C330/ABS(C328)</f>
        <v/>
      </c>
    </row>
    <row r="332">
      <c r="A332" s="68" t="n"/>
      <c r="B332" s="41" t="n"/>
      <c r="C332" s="76">
        <f>+A330+A331+A332</f>
        <v/>
      </c>
    </row>
    <row r="333">
      <c r="A333" s="41" t="inlineStr">
        <is>
          <t>累積留倉   200股</t>
        </is>
      </c>
      <c r="B333" s="41" t="n"/>
      <c r="C333" s="41" t="n"/>
    </row>
    <row r="334">
      <c r="A334" s="41" t="inlineStr">
        <is>
          <t>2026.02.27 留倉</t>
        </is>
      </c>
      <c r="B334" s="41" t="inlineStr">
        <is>
          <t>買 100股</t>
        </is>
      </c>
      <c r="C334" s="72" t="n">
        <v>-68407</v>
      </c>
    </row>
    <row r="335">
      <c r="A335" s="41" t="inlineStr">
        <is>
          <t>2026.03.05 留倉</t>
        </is>
      </c>
      <c r="B335" s="41" t="inlineStr">
        <is>
          <t>買 100股</t>
        </is>
      </c>
      <c r="C335" s="71" t="n">
        <v>-68311.62</v>
      </c>
    </row>
    <row r="336">
      <c r="A336" s="5" t="n"/>
      <c r="B336" s="41" t="n"/>
      <c r="C336" s="41" t="n"/>
    </row>
    <row r="337">
      <c r="A337" s="5" t="n"/>
      <c r="B337" s="41" t="n"/>
      <c r="C337" s="41" t="n"/>
    </row>
    <row r="338">
      <c r="A338" s="5" t="n"/>
      <c r="B338" s="41" t="n"/>
      <c r="C338" s="41" t="n"/>
    </row>
    <row r="339" ht="30.75" customHeight="1" s="44" thickBot="1">
      <c r="A339" s="68" t="inlineStr">
        <is>
          <t>2026.04.14</t>
        </is>
      </c>
      <c r="B339" s="69" t="n">
        <v>-39964.32</v>
      </c>
      <c r="C339" s="70" t="inlineStr">
        <is>
          <t>損益</t>
        </is>
      </c>
    </row>
    <row r="340" ht="17.25" customHeight="1" s="44" thickBot="1">
      <c r="A340" s="7" t="n">
        <v>-68970.67999999999</v>
      </c>
      <c r="B340" s="69">
        <f>+B339+A340</f>
        <v/>
      </c>
      <c r="C340" s="71" t="n"/>
    </row>
    <row r="341" ht="17.25" customHeight="1" s="44" thickBot="1">
      <c r="A341" s="7" t="n">
        <v>26888.97</v>
      </c>
      <c r="B341" s="69">
        <f>+B340+A341</f>
        <v/>
      </c>
      <c r="C341" s="71" t="n"/>
    </row>
    <row r="342" ht="17.25" customHeight="1" s="44" thickBot="1">
      <c r="A342" s="7" t="n">
        <v>42057.1</v>
      </c>
      <c r="B342" s="69">
        <f>+B341+A342</f>
        <v/>
      </c>
      <c r="C342" s="71" t="n">
        <v>-24.61</v>
      </c>
    </row>
    <row r="343" ht="17.25" customHeight="1" s="44" thickBot="1">
      <c r="A343" s="7" t="n">
        <v>-27584.6</v>
      </c>
      <c r="B343" s="69">
        <f>+B342+A343</f>
        <v/>
      </c>
      <c r="C343" s="71" t="n"/>
    </row>
    <row r="344" ht="17.25" customHeight="1" s="44" thickBot="1">
      <c r="A344" s="7" t="n">
        <v>-41377.19</v>
      </c>
      <c r="B344" s="69">
        <f>+B343+A344</f>
        <v/>
      </c>
      <c r="C344" s="71" t="n"/>
    </row>
    <row r="345" ht="17.25" customHeight="1" s="44" thickBot="1">
      <c r="A345" s="7" t="n">
        <v>68999.06</v>
      </c>
      <c r="B345" s="69">
        <f>+B344+A345</f>
        <v/>
      </c>
      <c r="C345" s="71" t="n">
        <v>37.27</v>
      </c>
    </row>
    <row r="346" ht="17.25" customHeight="1" s="44" thickBot="1">
      <c r="A346" s="7" t="n">
        <v>-69074</v>
      </c>
      <c r="B346" s="69">
        <f>+B345+A346</f>
        <v/>
      </c>
      <c r="C346" s="71" t="n"/>
    </row>
    <row r="347" ht="17.25" customHeight="1" s="44" thickBot="1">
      <c r="A347" s="9" t="n">
        <v>690.98</v>
      </c>
      <c r="B347" s="69">
        <f>+B346+A347</f>
        <v/>
      </c>
      <c r="C347" s="71" t="n"/>
    </row>
    <row r="348" ht="17.25" customHeight="1" s="44" thickBot="1">
      <c r="A348" s="7" t="n">
        <v>68406.5</v>
      </c>
      <c r="B348" s="69">
        <f>+B347+A348</f>
        <v/>
      </c>
      <c r="C348" s="71" t="n">
        <v>23.48</v>
      </c>
    </row>
    <row r="349" ht="17.25" customHeight="1" s="44" thickBot="1">
      <c r="A349" s="7" t="n">
        <v>-69128</v>
      </c>
      <c r="B349" s="69">
        <f>+B348+A349</f>
        <v/>
      </c>
      <c r="C349" s="71" t="n"/>
    </row>
    <row r="350" ht="17.25" customHeight="1" s="44" thickBot="1">
      <c r="A350" s="7" t="n">
        <v>69130.06</v>
      </c>
      <c r="B350" s="69">
        <f>+B349+A350</f>
        <v/>
      </c>
      <c r="C350" s="71" t="n">
        <v>2.06</v>
      </c>
    </row>
    <row r="351" ht="17.25" customHeight="1" s="44" thickBot="1">
      <c r="A351" s="7" t="n">
        <v>-69144.5</v>
      </c>
      <c r="B351" s="69">
        <f>+B350+A351</f>
        <v/>
      </c>
      <c r="C351" s="71" t="n"/>
    </row>
    <row r="352" ht="17.25" customHeight="1" s="44" thickBot="1">
      <c r="A352" s="7" t="n">
        <v>69153.57000000001</v>
      </c>
      <c r="B352" s="69">
        <f>+B351+A352</f>
        <v/>
      </c>
      <c r="C352" s="71" t="n">
        <v>9.07</v>
      </c>
    </row>
    <row r="353" ht="17.25" customHeight="1" s="44" thickBot="1">
      <c r="A353" s="7" t="n">
        <v>-69195</v>
      </c>
      <c r="B353" s="69">
        <f>+B352+A353</f>
        <v/>
      </c>
      <c r="C353" s="71" t="n"/>
    </row>
    <row r="354" ht="17.25" customHeight="1" s="44" thickBot="1">
      <c r="A354" s="7" t="n">
        <v>69185.55</v>
      </c>
      <c r="B354" s="69">
        <f>+B353+A354</f>
        <v/>
      </c>
      <c r="C354" s="71" t="n">
        <v>-9.449999999999999</v>
      </c>
    </row>
    <row r="355" ht="17.25" customHeight="1" s="44" thickBot="1">
      <c r="A355" s="7" t="n">
        <v>-69252</v>
      </c>
      <c r="B355" s="69">
        <f>+B354+A355</f>
        <v/>
      </c>
      <c r="C355" s="71" t="n"/>
    </row>
    <row r="356" ht="17.25" customHeight="1" s="44" thickBot="1">
      <c r="A356" s="7" t="n">
        <v>69252.55</v>
      </c>
      <c r="B356" s="69">
        <f>+B355+A356</f>
        <v/>
      </c>
      <c r="C356" s="71" t="n">
        <v>0.55</v>
      </c>
    </row>
    <row r="357" ht="17.25" customHeight="1" s="44" thickBot="1">
      <c r="A357" s="10" t="n">
        <v>69347.05</v>
      </c>
      <c r="B357" s="77">
        <f>+B356+A357</f>
        <v/>
      </c>
      <c r="C357" s="71" t="n"/>
    </row>
    <row r="358" ht="17.25" customHeight="1" s="44" thickBot="1">
      <c r="A358" s="10" t="n">
        <v>69357.05</v>
      </c>
      <c r="B358" s="77">
        <f>+B357+A358</f>
        <v/>
      </c>
      <c r="C358" s="71" t="n"/>
    </row>
    <row r="359">
      <c r="A359" s="41" t="n"/>
      <c r="B359" s="72" t="inlineStr">
        <is>
          <t xml:space="preserve">合計 </t>
        </is>
      </c>
      <c r="C359" s="71">
        <f>SUM(C340:C356)</f>
        <v/>
      </c>
    </row>
    <row r="360">
      <c r="A360" s="41" t="n"/>
      <c r="B360" s="72" t="inlineStr">
        <is>
          <t>核驗</t>
        </is>
      </c>
      <c r="C360" s="71">
        <f>+B356-B339</f>
        <v/>
      </c>
    </row>
    <row r="361">
      <c r="A361" s="41" t="n"/>
      <c r="B361" s="69" t="n"/>
      <c r="C361" s="41" t="n"/>
    </row>
    <row r="362">
      <c r="A362" s="41" t="n"/>
      <c r="B362" s="69" t="n"/>
      <c r="C362" s="41" t="n"/>
    </row>
    <row r="363">
      <c r="A363" s="41" t="inlineStr">
        <is>
          <t>2026.04.14當沖</t>
        </is>
      </c>
      <c r="B363" s="72" t="inlineStr">
        <is>
          <t>買</t>
        </is>
      </c>
      <c r="C363" s="72">
        <f>SUMIF(A340:A356,"&lt;0")</f>
        <v/>
      </c>
    </row>
    <row r="364">
      <c r="A364" s="41">
        <f>"SPY " &amp; COUNT(C340:C358) * 100 &amp; "股"</f>
        <v/>
      </c>
      <c r="B364" s="72" t="inlineStr">
        <is>
          <t>賣</t>
        </is>
      </c>
      <c r="C364" s="72">
        <f>SUMIF(A340:A356,"&gt;0")</f>
        <v/>
      </c>
    </row>
    <row r="365" ht="17.25" customHeight="1" s="44" thickBot="1">
      <c r="A365" s="68" t="n"/>
      <c r="B365" s="72" t="inlineStr">
        <is>
          <t>當日損益</t>
        </is>
      </c>
      <c r="C365" s="73">
        <f>+C363+C364</f>
        <v/>
      </c>
    </row>
    <row r="366" ht="17.25" customHeight="1" s="44" thickTop="1">
      <c r="A366" s="68" t="n"/>
      <c r="B366" s="72" t="inlineStr">
        <is>
          <t>當日損益 %</t>
        </is>
      </c>
      <c r="C366" s="36">
        <f>C365/ABS(C363)</f>
        <v/>
      </c>
    </row>
    <row r="367">
      <c r="A367" s="68" t="n"/>
      <c r="B367" s="41" t="n"/>
      <c r="C367" s="76">
        <f>+A365+A366+A367</f>
        <v/>
      </c>
    </row>
    <row r="368">
      <c r="A368" s="41" t="n"/>
      <c r="B368" s="41" t="n"/>
      <c r="C368" s="41" t="n"/>
    </row>
    <row r="369">
      <c r="A369" s="41" t="inlineStr">
        <is>
          <t>2026.02.27 留倉</t>
        </is>
      </c>
      <c r="B369" s="41" t="inlineStr">
        <is>
          <t>買入100股</t>
        </is>
      </c>
      <c r="C369" s="72" t="n">
        <v>-68407</v>
      </c>
    </row>
    <row r="370">
      <c r="A370" s="41" t="inlineStr">
        <is>
          <t>2026.03.20 配息</t>
        </is>
      </c>
      <c r="B370" s="11" t="inlineStr">
        <is>
          <t>@1.796999*0.7</t>
        </is>
      </c>
      <c r="C370" s="71" t="n">
        <v>125.79</v>
      </c>
    </row>
    <row r="371">
      <c r="A371" s="41" t="inlineStr">
        <is>
          <t>2026.04.14 平倉</t>
        </is>
      </c>
      <c r="B371" s="41" t="inlineStr">
        <is>
          <t>出售100股</t>
        </is>
      </c>
      <c r="C371" s="71">
        <f>A358</f>
        <v/>
      </c>
    </row>
    <row r="372" ht="17.25" customHeight="1" s="44" thickBot="1">
      <c r="A372" s="41" t="n"/>
      <c r="B372" s="72" t="inlineStr">
        <is>
          <t>平倉損益</t>
        </is>
      </c>
      <c r="C372" s="73">
        <f>+C369+C371+C370</f>
        <v/>
      </c>
    </row>
    <row r="373" ht="17.25" customHeight="1" s="44" thickTop="1">
      <c r="A373" s="41" t="n"/>
      <c r="B373" s="72" t="inlineStr">
        <is>
          <t>平倉損益 %</t>
        </is>
      </c>
      <c r="C373" s="36">
        <f>C372/ABS(C369)</f>
        <v/>
      </c>
    </row>
    <row r="374">
      <c r="A374" s="41" t="n"/>
      <c r="B374" s="41" t="n"/>
      <c r="C374" s="71" t="n"/>
    </row>
    <row r="375">
      <c r="A375" s="41" t="inlineStr">
        <is>
          <t>2026.03.05 留倉</t>
        </is>
      </c>
      <c r="B375" s="41" t="inlineStr">
        <is>
          <t>買入100股</t>
        </is>
      </c>
      <c r="C375" s="72" t="n">
        <v>-68311.62</v>
      </c>
    </row>
    <row r="376">
      <c r="A376" s="41" t="inlineStr">
        <is>
          <t>2026.03.20 配息</t>
        </is>
      </c>
      <c r="B376" s="11" t="inlineStr">
        <is>
          <t>@1.796999*0.7</t>
        </is>
      </c>
      <c r="C376" s="71" t="n">
        <v>125.79</v>
      </c>
    </row>
    <row r="377">
      <c r="A377" s="41" t="inlineStr">
        <is>
          <t>2026.04.14 平倉</t>
        </is>
      </c>
      <c r="B377" s="41" t="inlineStr">
        <is>
          <t>出售100股</t>
        </is>
      </c>
      <c r="C377" s="71">
        <f>A357</f>
        <v/>
      </c>
    </row>
    <row r="378" ht="17.25" customHeight="1" s="44" thickBot="1">
      <c r="A378" s="41" t="n"/>
      <c r="B378" s="72" t="inlineStr">
        <is>
          <t>平倉損益</t>
        </is>
      </c>
      <c r="C378" s="73">
        <f>+C375+C377+C376</f>
        <v/>
      </c>
    </row>
    <row r="379" ht="17.25" customHeight="1" s="44" thickTop="1">
      <c r="A379" s="41" t="n"/>
      <c r="B379" s="72" t="inlineStr">
        <is>
          <t>平倉損益 %</t>
        </is>
      </c>
      <c r="C379" s="36">
        <f>C378/ABS(C375)</f>
        <v/>
      </c>
    </row>
    <row r="380">
      <c r="A380" s="5" t="n"/>
      <c r="B380" s="41" t="n"/>
      <c r="C380" s="41" t="n"/>
    </row>
    <row r="381">
      <c r="A381" s="41" t="inlineStr">
        <is>
          <t>累積留倉   0</t>
        </is>
      </c>
      <c r="B381" s="41" t="n"/>
      <c r="C381" s="41" t="n"/>
    </row>
    <row r="382">
      <c r="A382" s="5" t="n"/>
      <c r="B382" s="41" t="n"/>
      <c r="C382" s="41" t="n"/>
    </row>
    <row r="383">
      <c r="A383" s="5" t="n"/>
      <c r="B383" s="41" t="n"/>
      <c r="C383" s="41" t="n"/>
    </row>
    <row r="384" ht="30" customHeight="1" s="44">
      <c r="A384" s="68" t="inlineStr">
        <is>
          <t>2026.04.15</t>
        </is>
      </c>
      <c r="B384" s="69" t="n">
        <v>-40046.97</v>
      </c>
      <c r="C384" s="70" t="inlineStr">
        <is>
          <t>損益</t>
        </is>
      </c>
    </row>
    <row r="385">
      <c r="A385" s="2" t="n">
        <v>-69514</v>
      </c>
      <c r="B385" s="69">
        <f>+B384+A385</f>
        <v/>
      </c>
      <c r="C385" s="71" t="n"/>
    </row>
    <row r="386">
      <c r="A386" s="2" t="n">
        <v>69555.04000000001</v>
      </c>
      <c r="B386" s="69">
        <f>+B385+A386</f>
        <v/>
      </c>
      <c r="C386" s="71" t="n">
        <v>41.04</v>
      </c>
    </row>
    <row r="387">
      <c r="A387" s="2" t="n">
        <v>-69540.5</v>
      </c>
      <c r="B387" s="69">
        <f>+B386+A387</f>
        <v/>
      </c>
      <c r="C387" s="71" t="n"/>
    </row>
    <row r="388">
      <c r="A388" s="2" t="n">
        <v>69538.05</v>
      </c>
      <c r="B388" s="69">
        <f>+B387+A388</f>
        <v/>
      </c>
      <c r="C388" s="71" t="n">
        <v>-2.45</v>
      </c>
    </row>
    <row r="389">
      <c r="A389" s="2" t="n">
        <v>-69687.5</v>
      </c>
      <c r="B389" s="69">
        <f>+B388+A389</f>
        <v/>
      </c>
      <c r="C389" s="71" t="n"/>
    </row>
    <row r="390">
      <c r="A390" s="2" t="n">
        <v>69684.54999999999</v>
      </c>
      <c r="B390" s="69">
        <f>+B389+A390</f>
        <v/>
      </c>
      <c r="C390" s="71" t="n">
        <v>-2.95</v>
      </c>
    </row>
    <row r="391">
      <c r="A391" s="2" t="n">
        <v>-69691.99000000001</v>
      </c>
      <c r="B391" s="69">
        <f>+B390+A391</f>
        <v/>
      </c>
      <c r="C391" s="71" t="n"/>
    </row>
    <row r="392">
      <c r="A392" s="2" t="n">
        <v>27876.74</v>
      </c>
      <c r="B392" s="69">
        <f>+B391+A392</f>
        <v/>
      </c>
      <c r="C392" s="71" t="n"/>
    </row>
    <row r="393">
      <c r="A393" s="2" t="n">
        <v>41815.10000000001</v>
      </c>
      <c r="B393" s="69">
        <f>+B392+A393</f>
        <v/>
      </c>
      <c r="C393" s="71" t="n">
        <v>-0.15</v>
      </c>
    </row>
    <row r="394">
      <c r="A394" s="2" t="n">
        <v>-69730</v>
      </c>
      <c r="B394" s="69">
        <f>+B393+A394</f>
        <v/>
      </c>
      <c r="C394" s="71" t="n"/>
    </row>
    <row r="395">
      <c r="A395" s="2" t="n">
        <v>69734.53999999999</v>
      </c>
      <c r="B395" s="69">
        <f>+B394+A395</f>
        <v/>
      </c>
      <c r="C395" s="71" t="n">
        <v>4.54</v>
      </c>
    </row>
    <row r="396">
      <c r="A396" s="2" t="n">
        <v>-69715.99000000001</v>
      </c>
      <c r="B396" s="69">
        <f>+B395+A396</f>
        <v/>
      </c>
      <c r="C396" s="71" t="n"/>
    </row>
    <row r="397">
      <c r="A397" s="2" t="n">
        <v>27895.62</v>
      </c>
      <c r="B397" s="69">
        <f>+B396+A397</f>
        <v/>
      </c>
      <c r="C397" s="71" t="n"/>
    </row>
    <row r="398">
      <c r="A398" s="2" t="n">
        <v>27895.61</v>
      </c>
      <c r="B398" s="69">
        <f>+B397+A398</f>
        <v/>
      </c>
      <c r="C398" s="71" t="n"/>
    </row>
    <row r="399">
      <c r="A399" s="2" t="n">
        <v>13947.71</v>
      </c>
      <c r="B399" s="69">
        <f>+B398+A399</f>
        <v/>
      </c>
      <c r="C399" s="71" t="n">
        <v>22.95</v>
      </c>
    </row>
    <row r="400">
      <c r="A400" s="2" t="n">
        <v>-69665.36</v>
      </c>
      <c r="B400" s="69">
        <f>+B399+A400</f>
        <v/>
      </c>
      <c r="C400" s="71" t="n"/>
    </row>
    <row r="401">
      <c r="A401" s="2" t="n">
        <v>69715.03999999999</v>
      </c>
      <c r="B401" s="69">
        <f>+B400+A401</f>
        <v/>
      </c>
      <c r="C401" s="71" t="n">
        <v>49.68</v>
      </c>
    </row>
    <row r="402">
      <c r="A402" s="2" t="n"/>
      <c r="B402" s="72" t="inlineStr">
        <is>
          <t xml:space="preserve">合計 </t>
        </is>
      </c>
      <c r="C402" s="71">
        <f>SUM(C385:C401)</f>
        <v/>
      </c>
    </row>
    <row r="403">
      <c r="A403" s="2" t="n"/>
      <c r="B403" s="72" t="inlineStr">
        <is>
          <t>核驗</t>
        </is>
      </c>
      <c r="C403" s="71">
        <f>+B401-B384</f>
        <v/>
      </c>
    </row>
    <row r="404">
      <c r="A404" s="5" t="n"/>
      <c r="B404" s="69" t="n"/>
      <c r="C404" s="41" t="n"/>
    </row>
    <row r="405">
      <c r="A405" s="41" t="inlineStr">
        <is>
          <t>2026.04.15當沖</t>
        </is>
      </c>
      <c r="B405" s="72" t="inlineStr">
        <is>
          <t>買</t>
        </is>
      </c>
      <c r="C405" s="72">
        <f>SUMIF(A385:A401,"&lt;0")</f>
        <v/>
      </c>
    </row>
    <row r="406">
      <c r="A406" s="41">
        <f>"SPY " &amp; COUNT(C385:C401) * 100 &amp; "股"</f>
        <v/>
      </c>
      <c r="B406" s="72" t="inlineStr">
        <is>
          <t>賣</t>
        </is>
      </c>
      <c r="C406" s="72">
        <f>SUMIF(A385:A401,"&gt;0")</f>
        <v/>
      </c>
    </row>
    <row r="407" ht="17.25" customHeight="1" s="44" thickBot="1">
      <c r="A407" s="68" t="n"/>
      <c r="B407" s="72" t="inlineStr">
        <is>
          <t>當日損益</t>
        </is>
      </c>
      <c r="C407" s="73">
        <f>+C405+C406</f>
        <v/>
      </c>
    </row>
    <row r="408" ht="17.25" customHeight="1" s="44" thickTop="1">
      <c r="A408" s="68" t="n"/>
      <c r="B408" s="72" t="inlineStr">
        <is>
          <t>當日損益 %</t>
        </is>
      </c>
      <c r="C408" s="36">
        <f>C407/ABS(C405)</f>
        <v/>
      </c>
    </row>
    <row r="409">
      <c r="A409" s="5" t="n"/>
      <c r="B409" s="69" t="n"/>
      <c r="C409" s="41" t="n"/>
    </row>
    <row r="410">
      <c r="A410" s="41" t="n"/>
      <c r="B410" s="69" t="n"/>
      <c r="C410" s="41" t="n"/>
    </row>
    <row r="411">
      <c r="A411" s="5" t="n"/>
      <c r="B411" s="69" t="n"/>
      <c r="C411" s="41" t="n"/>
    </row>
    <row r="412">
      <c r="A412" s="5" t="n"/>
      <c r="B412" s="69" t="n"/>
      <c r="C412" s="41" t="n"/>
    </row>
    <row r="413" ht="30" customHeight="1" s="44">
      <c r="A413" s="68" t="inlineStr">
        <is>
          <t>2026.04.16</t>
        </is>
      </c>
      <c r="B413" s="69" t="n">
        <v>98695.5</v>
      </c>
      <c r="C413" s="70" t="inlineStr">
        <is>
          <t>損益</t>
        </is>
      </c>
    </row>
    <row r="414">
      <c r="A414" s="2" t="n">
        <v>70092.53999999999</v>
      </c>
      <c r="B414" s="69">
        <f>+B413+A414</f>
        <v/>
      </c>
      <c r="C414" s="71" t="n"/>
    </row>
    <row r="415">
      <c r="A415" s="2" t="n">
        <v>-70089</v>
      </c>
      <c r="B415" s="69">
        <f>+B414+A415</f>
        <v/>
      </c>
      <c r="C415" s="71" t="n">
        <v>3.54</v>
      </c>
    </row>
    <row r="416">
      <c r="A416" s="2" t="n">
        <v>70020.53999999999</v>
      </c>
      <c r="B416" s="69">
        <f>+B415+A416</f>
        <v/>
      </c>
      <c r="C416" s="71" t="n"/>
    </row>
    <row r="417">
      <c r="A417" s="2" t="n">
        <v>-70053.99000000001</v>
      </c>
      <c r="B417" s="69">
        <f>+B416+A417</f>
        <v/>
      </c>
      <c r="C417" s="71" t="n">
        <v>-33.45</v>
      </c>
    </row>
    <row r="418">
      <c r="A418" s="2" t="n">
        <v>70040.26999999999</v>
      </c>
      <c r="B418" s="69">
        <f>+B417+A418</f>
        <v/>
      </c>
      <c r="C418" s="71" t="n"/>
    </row>
    <row r="419">
      <c r="A419" s="2" t="n">
        <v>-70003.5</v>
      </c>
      <c r="B419" s="69">
        <f>+B418+A419</f>
        <v/>
      </c>
      <c r="C419" s="71" t="n">
        <v>36.77</v>
      </c>
    </row>
    <row r="420">
      <c r="A420" s="2" t="n">
        <v>-69981.35000000001</v>
      </c>
      <c r="B420" s="69">
        <f>+B419+A420</f>
        <v/>
      </c>
      <c r="C420" s="71" t="n"/>
    </row>
    <row r="421">
      <c r="A421" s="2" t="n">
        <v>69970.53999999999</v>
      </c>
      <c r="B421" s="69">
        <f>+B420+A421</f>
        <v/>
      </c>
      <c r="C421" s="71" t="n">
        <v>-10.81</v>
      </c>
    </row>
    <row r="422">
      <c r="A422" s="2" t="n">
        <v>-69981</v>
      </c>
      <c r="B422" s="69">
        <f>+B421+A422</f>
        <v/>
      </c>
      <c r="C422" s="71" t="n"/>
    </row>
    <row r="423">
      <c r="A423" s="2" t="n">
        <v>69976.04999999999</v>
      </c>
      <c r="B423" s="69">
        <f>+B422+A423</f>
        <v/>
      </c>
      <c r="C423" s="71" t="n">
        <v>-4.95</v>
      </c>
    </row>
    <row r="424">
      <c r="A424" s="2" t="n">
        <v>-69912.99000000001</v>
      </c>
      <c r="B424" s="69">
        <f>+B423+A424</f>
        <v/>
      </c>
      <c r="C424" s="71" t="n"/>
    </row>
    <row r="425">
      <c r="A425" s="2" t="n">
        <v>69902.12</v>
      </c>
      <c r="B425" s="69">
        <f>+B424+A425</f>
        <v/>
      </c>
      <c r="C425" s="71" t="n">
        <v>-10.87</v>
      </c>
    </row>
    <row r="426">
      <c r="A426" s="2" t="n">
        <v>-69928</v>
      </c>
      <c r="B426" s="69">
        <f>+B425+A426</f>
        <v/>
      </c>
      <c r="C426" s="71" t="n"/>
    </row>
    <row r="427">
      <c r="A427" s="2" t="n">
        <v>69907.53999999999</v>
      </c>
      <c r="B427" s="69">
        <f>+B426+A427</f>
        <v/>
      </c>
      <c r="C427" s="71" t="n">
        <v>-20.46</v>
      </c>
    </row>
    <row r="428">
      <c r="A428" s="2" t="n">
        <v>-69989</v>
      </c>
      <c r="B428" s="69">
        <f>+B427+A428</f>
        <v/>
      </c>
      <c r="C428" s="71" t="n"/>
    </row>
    <row r="429">
      <c r="A429" s="2" t="n">
        <v>69996.84999999999</v>
      </c>
      <c r="B429" s="69">
        <f>+B428+A429</f>
        <v/>
      </c>
      <c r="C429" s="71" t="n">
        <v>7.85</v>
      </c>
    </row>
    <row r="430">
      <c r="A430" s="2" t="n">
        <v>-70018.67</v>
      </c>
      <c r="B430" s="69">
        <f>+B429+A430</f>
        <v/>
      </c>
      <c r="C430" s="71" t="n"/>
    </row>
    <row r="431">
      <c r="A431" s="2" t="n">
        <v>70025.82999999999</v>
      </c>
      <c r="B431" s="69">
        <f>+B430+A431</f>
        <v/>
      </c>
      <c r="C431" s="71" t="n">
        <v>7.16</v>
      </c>
    </row>
    <row r="432">
      <c r="A432" s="2" t="n">
        <v>-70048.5</v>
      </c>
      <c r="B432" s="69">
        <f>+B431+A432</f>
        <v/>
      </c>
      <c r="C432" s="71" t="n"/>
    </row>
    <row r="433">
      <c r="A433" s="2" t="n">
        <v>56044.83</v>
      </c>
      <c r="B433" s="69">
        <f>+B432+A433</f>
        <v/>
      </c>
      <c r="C433" s="71" t="n"/>
    </row>
    <row r="434">
      <c r="A434" s="2" t="n">
        <v>14011.21</v>
      </c>
      <c r="B434" s="69">
        <f>+B433+A434</f>
        <v/>
      </c>
      <c r="C434" s="71" t="n">
        <v>7.54</v>
      </c>
    </row>
    <row r="435">
      <c r="A435" s="2" t="n">
        <v>-70064</v>
      </c>
      <c r="B435" s="69">
        <f>+B434+A435</f>
        <v/>
      </c>
      <c r="C435" s="71" t="n"/>
    </row>
    <row r="436">
      <c r="A436" s="2" t="n">
        <v>70062.95999999999</v>
      </c>
      <c r="B436" s="69">
        <f>+B435+A436</f>
        <v/>
      </c>
      <c r="C436" s="71" t="n">
        <v>-1.04</v>
      </c>
    </row>
    <row r="437">
      <c r="A437" s="2" t="n">
        <v>-70194</v>
      </c>
      <c r="B437" s="69">
        <f>+B436+A437</f>
        <v/>
      </c>
      <c r="C437" s="71" t="n"/>
    </row>
    <row r="438">
      <c r="A438" s="2" t="n">
        <v>70228.56</v>
      </c>
      <c r="B438" s="69">
        <f>+B437+A438</f>
        <v/>
      </c>
      <c r="C438" s="71" t="n">
        <v>34.56</v>
      </c>
    </row>
    <row r="439">
      <c r="A439" s="2" t="n">
        <v>-70095</v>
      </c>
      <c r="B439" s="69">
        <f>+B438+A439</f>
        <v/>
      </c>
      <c r="C439" s="71" t="n"/>
    </row>
    <row r="440">
      <c r="A440" s="2" t="n">
        <v>56076.42</v>
      </c>
      <c r="B440" s="69">
        <f>+B439+A440</f>
        <v/>
      </c>
      <c r="C440" s="71" t="n"/>
    </row>
    <row r="441">
      <c r="A441" s="2" t="n">
        <v>14019.12</v>
      </c>
      <c r="B441" s="69">
        <f>+B440+A441</f>
        <v/>
      </c>
      <c r="C441" s="71" t="n">
        <v>0.54</v>
      </c>
    </row>
    <row r="442">
      <c r="A442" s="2" t="n">
        <v>-70118.61</v>
      </c>
      <c r="B442" s="69">
        <f>+B441+A442</f>
        <v/>
      </c>
      <c r="C442" s="71" t="n"/>
    </row>
    <row r="443">
      <c r="A443" s="2" t="n">
        <v>70125.54999999999</v>
      </c>
      <c r="B443" s="69">
        <f>+B442+A443</f>
        <v/>
      </c>
      <c r="C443" s="71" t="n">
        <v>6.94</v>
      </c>
    </row>
    <row r="444">
      <c r="A444" s="2" t="n">
        <v>-70122</v>
      </c>
      <c r="B444" s="69">
        <f>+B443+A444</f>
        <v/>
      </c>
      <c r="C444" s="71" t="n"/>
    </row>
    <row r="445">
      <c r="A445" s="2" t="n">
        <v>28049.81</v>
      </c>
      <c r="B445" s="69">
        <f>+B444+A445</f>
        <v/>
      </c>
      <c r="C445" s="71" t="n"/>
    </row>
    <row r="446">
      <c r="A446" s="2" t="n">
        <v>42074.74</v>
      </c>
      <c r="B446" s="69">
        <f>+B445+A446</f>
        <v/>
      </c>
      <c r="C446" s="71" t="n">
        <v>2.55</v>
      </c>
    </row>
    <row r="447">
      <c r="A447" s="2" t="n"/>
      <c r="B447" s="72" t="inlineStr">
        <is>
          <t xml:space="preserve">合計 </t>
        </is>
      </c>
      <c r="C447" s="71">
        <f>SUM(C414:C446)</f>
        <v/>
      </c>
    </row>
    <row r="448">
      <c r="A448" s="2" t="n"/>
      <c r="B448" s="72" t="inlineStr">
        <is>
          <t>核驗</t>
        </is>
      </c>
      <c r="C448" s="71">
        <f>+B446-B413</f>
        <v/>
      </c>
    </row>
    <row r="449">
      <c r="A449" s="5" t="n"/>
      <c r="B449" s="69" t="n"/>
      <c r="C449" s="41" t="n"/>
    </row>
    <row r="450">
      <c r="A450" s="41" t="inlineStr">
        <is>
          <t>2026.04.16當沖</t>
        </is>
      </c>
      <c r="B450" s="72" t="inlineStr">
        <is>
          <t>買</t>
        </is>
      </c>
      <c r="C450" s="72">
        <f>SUMIF(A414:A446,"&lt;0")</f>
        <v/>
      </c>
    </row>
    <row r="451">
      <c r="A451" s="41">
        <f>"SPY " &amp; COUNT(C414:C446) * 100 &amp; "股"</f>
        <v/>
      </c>
      <c r="B451" s="72" t="inlineStr">
        <is>
          <t>賣</t>
        </is>
      </c>
      <c r="C451" s="72">
        <f>SUMIF(A414:A446,"&gt;0")</f>
        <v/>
      </c>
    </row>
    <row r="452" ht="17.25" customHeight="1" s="44" thickBot="1">
      <c r="A452" s="68" t="n"/>
      <c r="B452" s="72" t="inlineStr">
        <is>
          <t>當日損益</t>
        </is>
      </c>
      <c r="C452" s="73">
        <f>+C450+C451</f>
        <v/>
      </c>
    </row>
    <row r="453" ht="17.25" customHeight="1" s="44" thickTop="1">
      <c r="A453" s="68" t="n"/>
      <c r="B453" s="72" t="inlineStr">
        <is>
          <t>當日損益 %</t>
        </is>
      </c>
      <c r="C453" s="36">
        <f>C452/ABS(C450)</f>
        <v/>
      </c>
    </row>
    <row r="454">
      <c r="A454" s="5" t="n"/>
      <c r="B454" s="41" t="n"/>
      <c r="C454" s="41" t="n"/>
    </row>
    <row r="455">
      <c r="A455" s="5" t="n"/>
      <c r="B455" s="41" t="n"/>
      <c r="C455" s="41" t="n"/>
    </row>
    <row r="456">
      <c r="A456" s="5" t="n"/>
      <c r="B456" s="41" t="n"/>
      <c r="C456" s="41" t="n"/>
    </row>
    <row r="457">
      <c r="A457" s="5" t="n"/>
      <c r="B457" s="41" t="n"/>
      <c r="C457" s="41" t="n"/>
    </row>
    <row r="458" ht="30" customHeight="1" s="44">
      <c r="A458" s="68" t="inlineStr">
        <is>
          <t>2026.04.17</t>
        </is>
      </c>
      <c r="B458" s="69" t="n">
        <v>98808.16</v>
      </c>
      <c r="C458" s="70" t="inlineStr">
        <is>
          <t>損益</t>
        </is>
      </c>
    </row>
    <row r="459">
      <c r="A459" s="2" t="n">
        <v>-70747.5</v>
      </c>
      <c r="B459" s="69">
        <f>+B458+A459</f>
        <v/>
      </c>
      <c r="C459" s="71" t="n"/>
    </row>
    <row r="460">
      <c r="A460" s="2" t="n">
        <v>70771.8</v>
      </c>
      <c r="B460" s="69">
        <f>+B459+A460</f>
        <v/>
      </c>
      <c r="C460" s="71" t="n">
        <v>24.3</v>
      </c>
    </row>
    <row r="461">
      <c r="A461" s="2" t="n">
        <v>-20056.99</v>
      </c>
      <c r="B461" s="69">
        <f>+B460+A461</f>
        <v/>
      </c>
      <c r="C461" s="71" t="n"/>
    </row>
    <row r="462">
      <c r="A462" s="2" t="n">
        <v>20060.07</v>
      </c>
      <c r="B462" s="69">
        <f>+B461+A462</f>
        <v/>
      </c>
      <c r="C462" s="71" t="n">
        <v>3.08</v>
      </c>
    </row>
    <row r="463">
      <c r="A463" s="2" t="n">
        <v>-71086</v>
      </c>
      <c r="B463" s="69">
        <f>+B462+A463</f>
        <v/>
      </c>
      <c r="C463" s="71" t="n"/>
    </row>
    <row r="464">
      <c r="A464" s="2" t="n">
        <v>71108.02</v>
      </c>
      <c r="B464" s="69">
        <f>+B463+A464</f>
        <v/>
      </c>
      <c r="C464" s="71" t="n">
        <v>22.02</v>
      </c>
    </row>
    <row r="465">
      <c r="A465" s="1" t="n">
        <v>-71111.5</v>
      </c>
      <c r="B465" s="69">
        <f>+B464+A465</f>
        <v/>
      </c>
      <c r="C465" s="71" t="n"/>
    </row>
    <row r="466">
      <c r="A466" s="2" t="n">
        <v>-71059</v>
      </c>
      <c r="B466" s="69">
        <f>+B465+A466</f>
        <v/>
      </c>
      <c r="C466" s="71" t="n"/>
    </row>
    <row r="467">
      <c r="A467" s="2" t="n">
        <v>35536.51</v>
      </c>
      <c r="B467" s="69">
        <f>+B466+A467</f>
        <v/>
      </c>
      <c r="C467" s="71" t="n"/>
    </row>
    <row r="468">
      <c r="A468" s="2" t="n">
        <v>35536.51</v>
      </c>
      <c r="B468" s="69">
        <f>+B467+A468</f>
        <v/>
      </c>
      <c r="C468" s="71" t="n">
        <v>14.02</v>
      </c>
    </row>
    <row r="469">
      <c r="A469" s="1" t="n">
        <v>71201.51999999999</v>
      </c>
      <c r="B469" s="69">
        <f>+B468+A469</f>
        <v/>
      </c>
      <c r="C469" s="71" t="n">
        <v>90.02</v>
      </c>
    </row>
    <row r="470">
      <c r="A470" s="2" t="n"/>
      <c r="B470" s="72" t="inlineStr">
        <is>
          <t xml:space="preserve">合計 </t>
        </is>
      </c>
      <c r="C470" s="71">
        <f>SUM(C459:C469)</f>
        <v/>
      </c>
    </row>
    <row r="471">
      <c r="A471" s="2" t="n"/>
      <c r="B471" s="72" t="inlineStr">
        <is>
          <t>核驗</t>
        </is>
      </c>
      <c r="C471" s="71">
        <f>+B469-B458</f>
        <v/>
      </c>
    </row>
    <row r="472">
      <c r="A472" s="5" t="n"/>
      <c r="B472" s="69" t="n"/>
      <c r="C472" s="41" t="n"/>
    </row>
    <row r="473">
      <c r="A473" s="41" t="inlineStr">
        <is>
          <t>2026.04.17當沖</t>
        </is>
      </c>
      <c r="B473" s="72" t="inlineStr">
        <is>
          <t>買</t>
        </is>
      </c>
      <c r="C473" s="72">
        <f>SUMIF(A459:A469,"&lt;0")-C478</f>
        <v/>
      </c>
    </row>
    <row r="474">
      <c r="A474" s="41">
        <f>"SPY " &amp; (COUNT(C459:C469)-1) * 100 &amp; "股"</f>
        <v/>
      </c>
      <c r="B474" s="72" t="inlineStr">
        <is>
          <t>賣</t>
        </is>
      </c>
      <c r="C474" s="72">
        <f>SUMIF(A459:A469,"&gt;0")-C479</f>
        <v/>
      </c>
    </row>
    <row r="475" ht="17.25" customHeight="1" s="44" thickBot="1">
      <c r="A475" s="68" t="n"/>
      <c r="B475" s="72" t="inlineStr">
        <is>
          <t>當日損益</t>
        </is>
      </c>
      <c r="C475" s="73">
        <f>+C473+C474</f>
        <v/>
      </c>
    </row>
    <row r="476" ht="17.25" customHeight="1" s="44" thickTop="1">
      <c r="A476" s="68" t="n"/>
      <c r="B476" s="72" t="inlineStr">
        <is>
          <t>當日損益 %</t>
        </is>
      </c>
      <c r="C476" s="36">
        <f>C475/ABS(C473)</f>
        <v/>
      </c>
    </row>
    <row r="477">
      <c r="A477" s="5" t="n"/>
      <c r="B477" s="69" t="n"/>
      <c r="C477" s="41" t="n"/>
    </row>
    <row r="478">
      <c r="A478" s="41" t="inlineStr">
        <is>
          <t>2026.04.17 當沖</t>
        </is>
      </c>
      <c r="B478" s="72" t="inlineStr">
        <is>
          <t>買</t>
        </is>
      </c>
      <c r="C478" s="72">
        <f>SUMIF(A460:A461,"&lt;0")</f>
        <v/>
      </c>
    </row>
    <row r="479">
      <c r="A479" s="41">
        <f>"NVDA "&amp;COUNT(C461:C462)*100&amp;"股"</f>
        <v/>
      </c>
      <c r="B479" s="72" t="inlineStr">
        <is>
          <t>賣</t>
        </is>
      </c>
      <c r="C479" s="72">
        <f>SUMIF(A461:A462,"&gt;0")</f>
        <v/>
      </c>
    </row>
    <row r="480" ht="17.25" customHeight="1" s="44" thickBot="1">
      <c r="A480" s="68" t="n"/>
      <c r="B480" s="72" t="inlineStr">
        <is>
          <t>當日損益</t>
        </is>
      </c>
      <c r="C480" s="73">
        <f>+C478+C479</f>
        <v/>
      </c>
    </row>
    <row r="481" ht="17.25" customHeight="1" s="44" thickTop="1">
      <c r="A481" s="68" t="n"/>
      <c r="B481" s="72" t="inlineStr">
        <is>
          <t>當日損益 %</t>
        </is>
      </c>
      <c r="C481" s="36">
        <f>C480/ABS(C478)</f>
        <v/>
      </c>
    </row>
    <row r="482">
      <c r="A482" s="5" t="n"/>
      <c r="B482" s="41" t="n"/>
      <c r="C482" s="41" t="n"/>
    </row>
    <row r="483">
      <c r="A483" s="5" t="n"/>
      <c r="B483" s="41" t="n"/>
      <c r="C483" s="41" t="n"/>
    </row>
    <row r="484">
      <c r="A484" s="5" t="n"/>
      <c r="B484" s="41" t="n"/>
      <c r="C484" s="41" t="n"/>
    </row>
    <row r="485">
      <c r="A485" s="5" t="n"/>
      <c r="B485" s="41" t="n"/>
      <c r="C485" s="41" t="n"/>
    </row>
    <row r="486" ht="30" customHeight="1" s="44">
      <c r="A486" s="68" t="inlineStr">
        <is>
          <t>2026.04.20</t>
        </is>
      </c>
      <c r="B486" s="41" t="n"/>
      <c r="C486" s="41" t="n"/>
    </row>
    <row r="487">
      <c r="A487" s="12" t="inlineStr">
        <is>
          <t>無當沖</t>
        </is>
      </c>
      <c r="B487" s="41" t="n"/>
      <c r="C487" s="41" t="n"/>
    </row>
    <row r="488">
      <c r="A488" s="5" t="n"/>
      <c r="B488" s="41" t="n"/>
      <c r="C488" s="41" t="n"/>
    </row>
    <row r="489">
      <c r="A489" s="5" t="n"/>
      <c r="B489" s="41" t="n"/>
      <c r="C489" s="41" t="n"/>
    </row>
    <row r="490" ht="30" customHeight="1" s="44">
      <c r="A490" s="68" t="inlineStr">
        <is>
          <t>2026.04.21</t>
        </is>
      </c>
      <c r="B490" s="69" t="n">
        <v>98987.47</v>
      </c>
      <c r="C490" s="70" t="inlineStr">
        <is>
          <t>損益</t>
        </is>
      </c>
    </row>
    <row r="491">
      <c r="A491" s="1" t="n">
        <v>-71060</v>
      </c>
      <c r="B491" s="69">
        <f>+B490+A491</f>
        <v/>
      </c>
      <c r="C491" s="71" t="n"/>
    </row>
    <row r="492">
      <c r="A492" s="2" t="n">
        <v>-71036</v>
      </c>
      <c r="B492" s="69">
        <f>+B491+A492</f>
        <v/>
      </c>
      <c r="C492" s="71" t="n"/>
    </row>
    <row r="493">
      <c r="A493" s="2" t="n">
        <v>71039.98000000001</v>
      </c>
      <c r="B493" s="69">
        <f>+B492+A493</f>
        <v/>
      </c>
      <c r="C493" s="71" t="n">
        <v>3.98</v>
      </c>
    </row>
    <row r="494">
      <c r="A494" s="1" t="n">
        <v>71052.02</v>
      </c>
      <c r="B494" s="69">
        <f>+B493+A494</f>
        <v/>
      </c>
      <c r="C494" s="71" t="n">
        <v>-7.98</v>
      </c>
    </row>
    <row r="495">
      <c r="A495" s="2" t="n">
        <v>-24056.16</v>
      </c>
      <c r="B495" s="69">
        <f>+B494+A495</f>
        <v/>
      </c>
      <c r="C495" s="71" t="n"/>
    </row>
    <row r="496">
      <c r="A496" s="2" t="n">
        <v>-46697.26</v>
      </c>
      <c r="B496" s="69">
        <f>+B495+A496</f>
        <v/>
      </c>
      <c r="C496" s="71" t="n"/>
    </row>
    <row r="497">
      <c r="A497" s="2" t="n">
        <v>70698.02</v>
      </c>
      <c r="B497" s="69">
        <f>+B496+A497</f>
        <v/>
      </c>
      <c r="C497" s="71" t="n">
        <v>-55.4</v>
      </c>
    </row>
    <row r="498">
      <c r="A498" s="2" t="n">
        <v>-70705</v>
      </c>
      <c r="B498" s="69">
        <f>+B497+A498</f>
        <v/>
      </c>
      <c r="C498" s="71" t="n"/>
    </row>
    <row r="499">
      <c r="A499" s="2" t="n">
        <v>70734.02</v>
      </c>
      <c r="B499" s="69">
        <f>+B498+A499</f>
        <v/>
      </c>
      <c r="C499" s="71" t="n">
        <v>29.02</v>
      </c>
    </row>
    <row r="500">
      <c r="A500" s="2" t="n">
        <v>-70560</v>
      </c>
      <c r="B500" s="69">
        <f>+B499+A500</f>
        <v/>
      </c>
      <c r="C500" s="71" t="n"/>
    </row>
    <row r="501">
      <c r="A501" s="2" t="n">
        <v>70572.53</v>
      </c>
      <c r="B501" s="69">
        <f>+B500+A501</f>
        <v/>
      </c>
      <c r="C501" s="71" t="n">
        <v>12.53</v>
      </c>
    </row>
    <row r="502">
      <c r="A502" s="2" t="n">
        <v>-70605.72</v>
      </c>
      <c r="B502" s="69">
        <f>+B501+A502</f>
        <v/>
      </c>
      <c r="C502" s="71" t="n"/>
    </row>
    <row r="503">
      <c r="A503" s="2" t="n">
        <v>28268.21</v>
      </c>
      <c r="B503" s="69">
        <f>+B502+A503</f>
        <v/>
      </c>
      <c r="C503" s="71" t="n"/>
    </row>
    <row r="504">
      <c r="A504" s="2" t="n">
        <v>42402.31</v>
      </c>
      <c r="B504" s="69">
        <f>+B503+A504</f>
        <v/>
      </c>
      <c r="C504" s="71" t="n">
        <v>64.8</v>
      </c>
    </row>
    <row r="505">
      <c r="A505" s="2" t="n"/>
      <c r="B505" s="72" t="inlineStr">
        <is>
          <t xml:space="preserve">合計 </t>
        </is>
      </c>
      <c r="C505" s="71">
        <f>SUM(C491:C504)</f>
        <v/>
      </c>
    </row>
    <row r="506">
      <c r="A506" s="2" t="n"/>
      <c r="B506" s="72" t="inlineStr">
        <is>
          <t>核驗</t>
        </is>
      </c>
      <c r="C506" s="71">
        <f>+B504-B490</f>
        <v/>
      </c>
    </row>
    <row r="507">
      <c r="A507" s="5" t="n"/>
      <c r="B507" s="69" t="n"/>
      <c r="C507" s="41" t="n"/>
    </row>
    <row r="508">
      <c r="A508" s="41" t="inlineStr">
        <is>
          <t>2026.04.21當沖</t>
        </is>
      </c>
      <c r="B508" s="72" t="inlineStr">
        <is>
          <t>買</t>
        </is>
      </c>
      <c r="C508" s="72">
        <f>SUMIF(A491:A504,"&lt;0")</f>
        <v/>
      </c>
    </row>
    <row r="509">
      <c r="A509" s="41">
        <f>"SPY " &amp; COUNT(C491:C504) * 100 &amp; "股"</f>
        <v/>
      </c>
      <c r="B509" s="72" t="inlineStr">
        <is>
          <t>賣</t>
        </is>
      </c>
      <c r="C509" s="72">
        <f>SUMIF(A491:A504,"&gt;0")</f>
        <v/>
      </c>
    </row>
    <row r="510" ht="17.25" customHeight="1" s="44" thickBot="1">
      <c r="A510" s="68" t="n"/>
      <c r="B510" s="72" t="inlineStr">
        <is>
          <t>當日損益</t>
        </is>
      </c>
      <c r="C510" s="73">
        <f>+C508+C509</f>
        <v/>
      </c>
    </row>
    <row r="511" ht="17.25" customHeight="1" s="44" thickTop="1">
      <c r="A511" s="68" t="n"/>
      <c r="B511" s="72" t="inlineStr">
        <is>
          <t>當日損益 %</t>
        </is>
      </c>
      <c r="C511" s="36">
        <f>C510/ABS(C508)</f>
        <v/>
      </c>
    </row>
    <row r="512">
      <c r="A512" s="5" t="n"/>
      <c r="B512" s="69" t="n"/>
      <c r="C512" s="41" t="n"/>
    </row>
    <row r="513">
      <c r="A513" s="5" t="n"/>
      <c r="B513" s="41" t="n"/>
      <c r="C513" s="41" t="n"/>
    </row>
    <row r="514">
      <c r="A514" s="5" t="n"/>
      <c r="B514" s="41" t="n"/>
      <c r="C514" s="41" t="n"/>
    </row>
    <row r="515" ht="30" customHeight="1" s="44">
      <c r="A515" s="68" t="inlineStr">
        <is>
          <t>2026.04.22</t>
        </is>
      </c>
      <c r="B515" s="69" t="n">
        <v>98987.47</v>
      </c>
      <c r="C515" s="70" t="inlineStr">
        <is>
          <t>損益</t>
        </is>
      </c>
    </row>
    <row r="516">
      <c r="A516" s="2" t="n">
        <v>-21272.19</v>
      </c>
      <c r="B516" s="69">
        <f>+B515+A516</f>
        <v/>
      </c>
      <c r="C516" s="13" t="n"/>
    </row>
    <row r="517">
      <c r="A517" s="2" t="n">
        <v>-49635.11</v>
      </c>
      <c r="B517" s="69">
        <f>+B516+A517</f>
        <v/>
      </c>
      <c r="C517" s="13" t="n"/>
    </row>
    <row r="518">
      <c r="A518" s="2" t="n">
        <v>70965.52</v>
      </c>
      <c r="B518" s="69">
        <f>+B517+A518</f>
        <v/>
      </c>
      <c r="C518" s="14" t="n">
        <v>58.22</v>
      </c>
    </row>
    <row r="519">
      <c r="A519" s="2" t="n"/>
      <c r="B519" s="72" t="inlineStr">
        <is>
          <t xml:space="preserve">合計 </t>
        </is>
      </c>
      <c r="C519" s="71">
        <f>SUM(C515:C518)</f>
        <v/>
      </c>
    </row>
    <row r="520">
      <c r="A520" s="2" t="n"/>
      <c r="B520" s="72" t="inlineStr">
        <is>
          <t>核驗</t>
        </is>
      </c>
      <c r="C520" s="71">
        <f>+B518-B515</f>
        <v/>
      </c>
    </row>
    <row r="521">
      <c r="A521" s="5" t="n"/>
      <c r="B521" s="69" t="n"/>
      <c r="C521" s="41" t="n"/>
    </row>
    <row r="522">
      <c r="A522" s="41" t="inlineStr">
        <is>
          <t>2026.04.22當沖</t>
        </is>
      </c>
      <c r="B522" s="72" t="inlineStr">
        <is>
          <t>買</t>
        </is>
      </c>
      <c r="C522" s="72">
        <f>SUMIF(A516:A518,"&lt;0")</f>
        <v/>
      </c>
    </row>
    <row r="523">
      <c r="A523" s="41">
        <f>"SPY " &amp; COUNT(C516:C518) * 100 &amp; "股"</f>
        <v/>
      </c>
      <c r="B523" s="72" t="inlineStr">
        <is>
          <t>賣</t>
        </is>
      </c>
      <c r="C523" s="72">
        <f>SUMIF(A516:A518,"&gt;0")</f>
        <v/>
      </c>
    </row>
    <row r="524" ht="17.25" customHeight="1" s="44" thickBot="1">
      <c r="A524" s="68" t="n"/>
      <c r="B524" s="72" t="inlineStr">
        <is>
          <t>當日損益</t>
        </is>
      </c>
      <c r="C524" s="73">
        <f>+C522+C523</f>
        <v/>
      </c>
    </row>
    <row r="525" ht="17.25" customHeight="1" s="44" thickTop="1">
      <c r="A525" s="68" t="n"/>
      <c r="B525" s="72" t="inlineStr">
        <is>
          <t>當日損益 %</t>
        </is>
      </c>
      <c r="C525" s="36">
        <f>C524/ABS(C522)</f>
        <v/>
      </c>
    </row>
    <row r="526">
      <c r="A526" s="5" t="n"/>
      <c r="B526" s="41" t="n"/>
      <c r="C526" s="41" t="n"/>
    </row>
    <row r="527">
      <c r="A527" s="5" t="n"/>
      <c r="B527" s="41" t="n"/>
      <c r="C527" s="41" t="n"/>
    </row>
    <row r="528" ht="30" customHeight="1" s="44">
      <c r="A528" s="68" t="inlineStr">
        <is>
          <t>2026.04.23</t>
        </is>
      </c>
      <c r="B528" s="69" t="n">
        <v>99034.42</v>
      </c>
      <c r="C528" s="70" t="inlineStr">
        <is>
          <t>損益</t>
        </is>
      </c>
    </row>
    <row r="529">
      <c r="A529" s="2" t="n">
        <v>-19182.29</v>
      </c>
      <c r="B529" s="69">
        <f>+B528+A529</f>
        <v/>
      </c>
      <c r="C529" s="13" t="n"/>
    </row>
    <row r="530">
      <c r="A530" s="2" t="n">
        <v>-51864.3</v>
      </c>
      <c r="B530" s="69">
        <f>+B529+A530</f>
        <v/>
      </c>
      <c r="C530" s="13" t="n"/>
    </row>
    <row r="531">
      <c r="A531" s="2" t="n">
        <v>71041.52</v>
      </c>
      <c r="B531" s="69">
        <f>+B530+A531</f>
        <v/>
      </c>
      <c r="C531" s="15" t="n">
        <v>-5.07</v>
      </c>
    </row>
    <row r="532">
      <c r="A532" s="2" t="n">
        <v>-70974</v>
      </c>
      <c r="B532" s="69">
        <f>+B531+A532</f>
        <v/>
      </c>
      <c r="C532" s="13" t="n"/>
    </row>
    <row r="533">
      <c r="A533" s="2" t="n">
        <v>71006.02</v>
      </c>
      <c r="B533" s="69">
        <f>+B532+A533</f>
        <v/>
      </c>
      <c r="C533" s="14" t="n">
        <v>32.02</v>
      </c>
    </row>
    <row r="534">
      <c r="A534" s="2" t="n">
        <v>-70981.99000000001</v>
      </c>
      <c r="B534" s="69">
        <f>+B533+A534</f>
        <v/>
      </c>
      <c r="C534" s="13" t="n"/>
    </row>
    <row r="535">
      <c r="A535" s="2" t="n">
        <v>71024.24000000001</v>
      </c>
      <c r="B535" s="69">
        <f>+B534+A535</f>
        <v/>
      </c>
      <c r="C535" s="14" t="n">
        <v>42.25</v>
      </c>
    </row>
    <row r="536">
      <c r="A536" s="2" t="n">
        <v>-71059.5</v>
      </c>
      <c r="B536" s="69">
        <f>+B535+A536</f>
        <v/>
      </c>
      <c r="C536" s="13" t="n"/>
    </row>
    <row r="537">
      <c r="A537" s="2" t="n">
        <v>71064.03</v>
      </c>
      <c r="B537" s="69">
        <f>+B536+A537</f>
        <v/>
      </c>
      <c r="C537" s="14" t="n">
        <v>4.53</v>
      </c>
    </row>
    <row r="538">
      <c r="A538" s="2" t="n">
        <v>-71078</v>
      </c>
      <c r="B538" s="69">
        <f>+B537+A538</f>
        <v/>
      </c>
      <c r="C538" s="13" t="n"/>
    </row>
    <row r="539">
      <c r="A539" s="2" t="n">
        <v>71097.52</v>
      </c>
      <c r="B539" s="69">
        <f>+B538+A539</f>
        <v/>
      </c>
      <c r="C539" s="14" t="n">
        <v>19.52</v>
      </c>
    </row>
    <row r="540">
      <c r="A540" s="2" t="n">
        <v>-71060.5</v>
      </c>
      <c r="B540" s="69">
        <f>+B539+A540</f>
        <v/>
      </c>
      <c r="C540" s="13" t="n"/>
    </row>
    <row r="541">
      <c r="A541" s="2" t="n">
        <v>710.83</v>
      </c>
      <c r="B541" s="69">
        <f>+B540+A541</f>
        <v/>
      </c>
      <c r="C541" s="13" t="n"/>
    </row>
    <row r="542">
      <c r="A542" s="2" t="n">
        <v>11373.06</v>
      </c>
      <c r="B542" s="69">
        <f>+B541+A542</f>
        <v/>
      </c>
      <c r="C542" s="13" t="n"/>
    </row>
    <row r="543">
      <c r="A543" s="2" t="n">
        <v>58997.67</v>
      </c>
      <c r="B543" s="69">
        <f>+B542+A543</f>
        <v/>
      </c>
      <c r="C543" s="14" t="n">
        <v>21.06</v>
      </c>
    </row>
    <row r="544">
      <c r="A544" s="2" t="n">
        <v>-71172.99000000001</v>
      </c>
      <c r="B544" s="69">
        <f>+B543+A544</f>
        <v/>
      </c>
      <c r="C544" s="13" t="n"/>
    </row>
    <row r="545">
      <c r="A545" s="2" t="n">
        <v>14234.11</v>
      </c>
      <c r="B545" s="69">
        <f>+B544+A545</f>
        <v/>
      </c>
      <c r="C545" s="13" t="n"/>
    </row>
    <row r="546">
      <c r="A546" s="2" t="n">
        <v>2135.11</v>
      </c>
      <c r="B546" s="69">
        <f>+B545+A546</f>
        <v/>
      </c>
      <c r="C546" s="13" t="n"/>
    </row>
    <row r="547">
      <c r="A547" s="2" t="n">
        <v>26333.1</v>
      </c>
      <c r="B547" s="69">
        <f>+B546+A547</f>
        <v/>
      </c>
      <c r="C547" s="13" t="n"/>
    </row>
    <row r="548">
      <c r="A548" s="2" t="n">
        <v>28468.2</v>
      </c>
      <c r="B548" s="69">
        <f>+B547+A548</f>
        <v/>
      </c>
      <c r="C548" s="15" t="n">
        <v>-2.47</v>
      </c>
    </row>
    <row r="549">
      <c r="A549" s="16" t="n">
        <v>-71205.99000000001</v>
      </c>
      <c r="B549" s="69">
        <f>+B548+A549</f>
        <v/>
      </c>
      <c r="C549" s="13" t="n"/>
    </row>
    <row r="550">
      <c r="A550" s="16" t="n">
        <v>-71129</v>
      </c>
      <c r="B550" s="69">
        <f>+B549+A550</f>
        <v/>
      </c>
      <c r="C550" s="13" t="n"/>
    </row>
    <row r="551">
      <c r="A551" s="2" t="n"/>
      <c r="B551" s="72" t="inlineStr">
        <is>
          <t xml:space="preserve">合計 </t>
        </is>
      </c>
      <c r="C551" s="71">
        <f>SUM(C529:C550)</f>
        <v/>
      </c>
    </row>
    <row r="552">
      <c r="A552" s="2" t="n"/>
      <c r="B552" s="72" t="inlineStr">
        <is>
          <t>核驗</t>
        </is>
      </c>
      <c r="C552" s="71">
        <f>+B548-B528</f>
        <v/>
      </c>
    </row>
    <row r="553">
      <c r="A553" s="5" t="n"/>
      <c r="B553" s="69" t="n"/>
      <c r="C553" s="41" t="n"/>
    </row>
    <row r="554">
      <c r="A554" s="41" t="inlineStr">
        <is>
          <t>2026.04.23當沖</t>
        </is>
      </c>
      <c r="B554" s="72" t="inlineStr">
        <is>
          <t>買</t>
        </is>
      </c>
      <c r="C554" s="72">
        <f>SUMIF(A529:A548,"&lt;0")</f>
        <v/>
      </c>
    </row>
    <row r="555">
      <c r="A555" s="41">
        <f>"SPY " &amp; COUNT(C529:C548) * 100 &amp; "股"</f>
        <v/>
      </c>
      <c r="B555" s="72" t="inlineStr">
        <is>
          <t>賣</t>
        </is>
      </c>
      <c r="C555" s="72">
        <f>SUMIF(A529:A548,"&gt;0")</f>
        <v/>
      </c>
    </row>
    <row r="556" ht="17.25" customHeight="1" s="44" thickBot="1">
      <c r="A556" s="68" t="n"/>
      <c r="B556" s="72" t="inlineStr">
        <is>
          <t>當日損益</t>
        </is>
      </c>
      <c r="C556" s="73">
        <f>+C554+C555</f>
        <v/>
      </c>
    </row>
    <row r="557" ht="17.25" customHeight="1" s="44" thickTop="1">
      <c r="A557" s="68" t="n"/>
      <c r="B557" s="72" t="inlineStr">
        <is>
          <t>當日損益 %</t>
        </is>
      </c>
      <c r="C557" s="36">
        <f>C556/ABS(C554)</f>
        <v/>
      </c>
    </row>
    <row r="558">
      <c r="A558" s="5" t="n"/>
      <c r="B558" s="41" t="n"/>
      <c r="C558" s="41" t="n"/>
    </row>
    <row r="559">
      <c r="A559" s="41" t="inlineStr">
        <is>
          <t>累積留倉   200股</t>
        </is>
      </c>
      <c r="B559" s="41" t="n"/>
      <c r="C559" s="41" t="n"/>
    </row>
    <row r="560">
      <c r="A560" s="41" t="inlineStr">
        <is>
          <t>2026.04.23 留倉</t>
        </is>
      </c>
      <c r="B560" s="41" t="inlineStr">
        <is>
          <t>買 100股</t>
        </is>
      </c>
      <c r="C560" s="72" t="n">
        <v>-71205.99000000001</v>
      </c>
    </row>
    <row r="561">
      <c r="A561" s="41" t="inlineStr">
        <is>
          <t>2026.04.23 留倉</t>
        </is>
      </c>
      <c r="B561" s="41" t="inlineStr">
        <is>
          <t>買 100股</t>
        </is>
      </c>
      <c r="C561" s="72" t="n">
        <v>-71129</v>
      </c>
    </row>
    <row r="562">
      <c r="A562" s="5" t="n"/>
      <c r="B562" s="41" t="n"/>
      <c r="C562" s="41" t="n"/>
    </row>
    <row r="563">
      <c r="A563" s="5" t="n"/>
      <c r="B563" s="41" t="n"/>
      <c r="C563" s="41" t="n"/>
    </row>
    <row r="564">
      <c r="A564" s="5" t="n"/>
      <c r="B564" s="41" t="n"/>
      <c r="C564" s="41" t="n"/>
    </row>
    <row r="565">
      <c r="A565" s="5" t="n"/>
      <c r="B565" s="41" t="n"/>
      <c r="C565" s="41" t="n"/>
    </row>
    <row r="566">
      <c r="A566" s="5" t="n"/>
      <c r="B566" s="41" t="n"/>
      <c r="C566" s="41" t="n"/>
    </row>
    <row r="567">
      <c r="A567" s="5" t="n"/>
      <c r="B567" s="41" t="n"/>
      <c r="C567" s="41" t="n"/>
    </row>
    <row r="568" ht="30" customHeight="1" s="44">
      <c r="A568" s="68" t="inlineStr">
        <is>
          <t>2026.04.24</t>
        </is>
      </c>
      <c r="B568" s="69" t="n">
        <v>99092.64</v>
      </c>
      <c r="C568" s="70" t="inlineStr">
        <is>
          <t>損益</t>
        </is>
      </c>
    </row>
    <row r="569">
      <c r="A569" s="6" t="n">
        <v>71146.50999999999</v>
      </c>
      <c r="B569" s="69">
        <f>+B568+A569</f>
        <v/>
      </c>
      <c r="C569" s="14" t="n">
        <v>17.51</v>
      </c>
    </row>
    <row r="570">
      <c r="A570" s="6" t="n">
        <v>35591.27</v>
      </c>
      <c r="B570" s="69">
        <f>+B569+A570</f>
        <v/>
      </c>
      <c r="C570" s="13" t="n"/>
    </row>
    <row r="571">
      <c r="A571" s="6" t="n">
        <v>28473</v>
      </c>
      <c r="B571" s="69">
        <f>+B570+A571</f>
        <v/>
      </c>
      <c r="C571" s="13" t="n"/>
    </row>
    <row r="572">
      <c r="A572" s="6" t="n">
        <v>711.83</v>
      </c>
      <c r="B572" s="69">
        <f>+B571+A572</f>
        <v/>
      </c>
      <c r="C572" s="13" t="n"/>
    </row>
    <row r="573">
      <c r="A573" s="6" t="n">
        <v>6406.42</v>
      </c>
      <c r="B573" s="69">
        <f>+B572+A573</f>
        <v/>
      </c>
      <c r="C573" s="15" t="n">
        <v>-23.47</v>
      </c>
    </row>
    <row r="574">
      <c r="A574" s="6" t="n"/>
      <c r="B574" s="72" t="inlineStr">
        <is>
          <t xml:space="preserve">合計 </t>
        </is>
      </c>
      <c r="C574" s="71" t="n">
        <v>0</v>
      </c>
    </row>
    <row r="575">
      <c r="A575" s="6" t="n"/>
      <c r="B575" s="72" t="inlineStr">
        <is>
          <t>核驗</t>
        </is>
      </c>
      <c r="C575" s="71" t="n">
        <v>0</v>
      </c>
    </row>
    <row r="576">
      <c r="A576" s="41" t="inlineStr">
        <is>
          <t>2026.04.24無當沖</t>
        </is>
      </c>
      <c r="B576" s="69" t="n"/>
      <c r="C576" s="15" t="n"/>
    </row>
    <row r="577">
      <c r="A577" s="6" t="n"/>
      <c r="B577" s="69" t="n"/>
      <c r="C577" s="15" t="n"/>
    </row>
    <row r="578">
      <c r="A578" s="41" t="inlineStr">
        <is>
          <t>2026.04.23買入</t>
        </is>
      </c>
      <c r="B578" s="72" t="inlineStr">
        <is>
          <t>100股</t>
        </is>
      </c>
      <c r="C578" s="72" t="n">
        <v>-71205.99000000001</v>
      </c>
    </row>
    <row r="579">
      <c r="A579" s="41" t="inlineStr">
        <is>
          <t>2026.04.24平倉</t>
        </is>
      </c>
      <c r="B579" s="72" t="inlineStr">
        <is>
          <t>100股</t>
        </is>
      </c>
      <c r="C579" s="72" t="n">
        <v>71182.52</v>
      </c>
    </row>
    <row r="580" ht="17.25" customHeight="1" s="44" thickBot="1">
      <c r="A580" s="68" t="n"/>
      <c r="B580" s="72" t="inlineStr">
        <is>
          <t>當日損益</t>
        </is>
      </c>
      <c r="C580" s="73">
        <f>+C578+C579</f>
        <v/>
      </c>
    </row>
    <row r="581" ht="17.25" customHeight="1" s="44" thickTop="1">
      <c r="A581" s="68" t="n"/>
      <c r="B581" s="72" t="inlineStr">
        <is>
          <t>當日損益 %</t>
        </is>
      </c>
      <c r="C581" s="36">
        <f>C580/ABS(C578)</f>
        <v/>
      </c>
    </row>
    <row r="582">
      <c r="A582" s="41" t="n"/>
      <c r="B582" s="41" t="n"/>
      <c r="C582" s="41" t="n"/>
    </row>
    <row r="583">
      <c r="A583" s="41" t="inlineStr">
        <is>
          <t>2026.04.23買入</t>
        </is>
      </c>
      <c r="B583" s="72" t="inlineStr">
        <is>
          <t>100股</t>
        </is>
      </c>
      <c r="C583" s="72" t="n">
        <v>-71129</v>
      </c>
    </row>
    <row r="584">
      <c r="A584" s="41" t="inlineStr">
        <is>
          <t>2026.04.24平倉</t>
        </is>
      </c>
      <c r="B584" s="72" t="inlineStr">
        <is>
          <t>100股</t>
        </is>
      </c>
      <c r="C584" s="72" t="n">
        <v>71146.50999999999</v>
      </c>
    </row>
    <row r="585" ht="17.25" customHeight="1" s="44" thickBot="1">
      <c r="A585" s="68" t="n"/>
      <c r="B585" s="72" t="inlineStr">
        <is>
          <t>當日損益</t>
        </is>
      </c>
      <c r="C585" s="73">
        <f>+C583+C584</f>
        <v/>
      </c>
    </row>
    <row r="586" ht="17.25" customHeight="1" s="44" thickTop="1">
      <c r="A586" s="68" t="n"/>
      <c r="B586" s="72" t="inlineStr">
        <is>
          <t>當日損益 %</t>
        </is>
      </c>
      <c r="C586" s="36">
        <f>C585/ABS(C583)</f>
        <v/>
      </c>
    </row>
    <row r="587">
      <c r="A587" s="68" t="n"/>
      <c r="B587" s="68" t="n"/>
      <c r="C587" s="68" t="n"/>
    </row>
    <row r="588">
      <c r="A588" s="68" t="n"/>
      <c r="B588" s="68" t="n"/>
      <c r="C588" s="68" t="n"/>
    </row>
    <row r="589">
      <c r="A589" s="5" t="n"/>
      <c r="B589" s="41" t="n"/>
      <c r="C589" s="41" t="n"/>
    </row>
    <row r="590">
      <c r="A590" s="5" t="n"/>
      <c r="B590" s="41" t="n"/>
      <c r="C590" s="41" t="n"/>
    </row>
    <row r="591">
      <c r="A591" s="5" t="n"/>
      <c r="B591" s="41" t="n"/>
      <c r="C591" s="41" t="n"/>
    </row>
    <row r="592" ht="30" customHeight="1" s="44">
      <c r="A592" s="68" t="inlineStr">
        <is>
          <t>2026.04.27</t>
        </is>
      </c>
      <c r="B592" s="69" t="n">
        <v>-43130.51</v>
      </c>
      <c r="C592" s="70" t="inlineStr">
        <is>
          <t>損益</t>
        </is>
      </c>
    </row>
    <row r="593">
      <c r="A593" s="2" t="n">
        <v>-71388.16</v>
      </c>
      <c r="B593" s="69">
        <f>+B592+A593</f>
        <v/>
      </c>
      <c r="C593" s="13" t="n"/>
    </row>
    <row r="594">
      <c r="A594" s="2" t="n">
        <v>71429.00999999999</v>
      </c>
      <c r="B594" s="69">
        <f>+B593+A594</f>
        <v/>
      </c>
      <c r="C594" s="14" t="n">
        <v>40.85</v>
      </c>
    </row>
    <row r="595">
      <c r="A595" s="2" t="n"/>
      <c r="B595" s="72" t="inlineStr">
        <is>
          <t xml:space="preserve">合計 </t>
        </is>
      </c>
      <c r="C595" s="71">
        <f>SUM(C593:C594)</f>
        <v/>
      </c>
    </row>
    <row r="596">
      <c r="A596" s="2" t="n"/>
      <c r="B596" s="72" t="inlineStr">
        <is>
          <t>核驗</t>
        </is>
      </c>
      <c r="C596" s="71">
        <f>+B594-B592</f>
        <v/>
      </c>
    </row>
    <row r="597">
      <c r="A597" s="5" t="n"/>
      <c r="B597" s="69" t="n"/>
      <c r="C597" s="41" t="n"/>
    </row>
    <row r="598">
      <c r="A598" s="41" t="inlineStr">
        <is>
          <t>2026.04.27當沖</t>
        </is>
      </c>
      <c r="B598" s="72" t="inlineStr">
        <is>
          <t>買</t>
        </is>
      </c>
      <c r="C598" s="72">
        <f>SUMIF(A593:A594,"&lt;0")</f>
        <v/>
      </c>
    </row>
    <row r="599">
      <c r="A599" s="41">
        <f>"SPY " &amp; COUNT(C593:C594) * 100 &amp; "股"</f>
        <v/>
      </c>
      <c r="B599" s="72" t="inlineStr">
        <is>
          <t>賣</t>
        </is>
      </c>
      <c r="C599" s="72">
        <f>SUMIF(A593:A594,"&gt;0")</f>
        <v/>
      </c>
    </row>
    <row r="600" ht="17.25" customHeight="1" s="44" thickBot="1">
      <c r="A600" s="68" t="n"/>
      <c r="B600" s="72" t="inlineStr">
        <is>
          <t>當日損益</t>
        </is>
      </c>
      <c r="C600" s="73">
        <f>+C598+C599</f>
        <v/>
      </c>
    </row>
    <row r="601" ht="17.25" customHeight="1" s="44" thickTop="1">
      <c r="A601" s="68" t="n"/>
      <c r="B601" s="72" t="inlineStr">
        <is>
          <t>當日損益 %</t>
        </is>
      </c>
      <c r="C601" s="36">
        <f>C600/ABS(C598)</f>
        <v/>
      </c>
    </row>
    <row r="602">
      <c r="A602" s="5" t="n"/>
      <c r="B602" s="41" t="n"/>
      <c r="C602" s="41" t="n"/>
    </row>
    <row r="603">
      <c r="A603" s="5" t="n"/>
      <c r="B603" s="41" t="n"/>
      <c r="C603" s="41" t="n"/>
    </row>
    <row r="604" ht="30" customHeight="1" s="44">
      <c r="A604" s="68" t="inlineStr">
        <is>
          <t>2026.04.28</t>
        </is>
      </c>
      <c r="B604" s="69" t="n">
        <v>99198.52</v>
      </c>
      <c r="C604" s="70" t="inlineStr">
        <is>
          <t>損益</t>
        </is>
      </c>
    </row>
    <row r="605">
      <c r="A605" s="6" t="n">
        <v>-71170.58</v>
      </c>
      <c r="B605" s="69">
        <f>+B604+A605</f>
        <v/>
      </c>
      <c r="C605" s="17" t="n"/>
    </row>
    <row r="606">
      <c r="A606" s="6" t="n">
        <v>71179.50999999999</v>
      </c>
      <c r="B606" s="69">
        <f>+B605+A606</f>
        <v/>
      </c>
      <c r="C606" s="18" t="n">
        <v>8.93</v>
      </c>
    </row>
    <row r="607">
      <c r="A607" s="19" t="n">
        <v>-71240.38</v>
      </c>
      <c r="B607" s="77">
        <f>+B606+A607</f>
        <v/>
      </c>
      <c r="C607" s="17" t="n"/>
    </row>
    <row r="608">
      <c r="A608" s="6" t="n">
        <v>-28496.4</v>
      </c>
      <c r="B608" s="69">
        <f>+B607+A608</f>
        <v/>
      </c>
      <c r="C608" s="17" t="n"/>
    </row>
    <row r="609">
      <c r="A609" s="6" t="n">
        <v>-42744.6</v>
      </c>
      <c r="B609" s="69">
        <f>+B608+A609</f>
        <v/>
      </c>
      <c r="C609" s="17" t="n"/>
    </row>
    <row r="610">
      <c r="A610" s="6" t="n">
        <v>71229.51999999999</v>
      </c>
      <c r="B610" s="69">
        <f>+B609+A610</f>
        <v/>
      </c>
      <c r="C610" s="20" t="n">
        <v>-11.48</v>
      </c>
    </row>
    <row r="611">
      <c r="A611" s="19" t="n">
        <v>-71205</v>
      </c>
      <c r="B611" s="77">
        <f>+B610+A611</f>
        <v/>
      </c>
      <c r="C611" s="17" t="n"/>
    </row>
    <row r="612">
      <c r="A612" s="2" t="n"/>
      <c r="B612" s="72" t="inlineStr">
        <is>
          <t xml:space="preserve">合計 </t>
        </is>
      </c>
      <c r="C612" s="71">
        <f>SUM(C605:C611)</f>
        <v/>
      </c>
    </row>
    <row r="613">
      <c r="A613" s="2" t="n"/>
      <c r="B613" s="72" t="inlineStr">
        <is>
          <t>核驗</t>
        </is>
      </c>
      <c r="C613" s="71">
        <f>+B611-B604-A611-A607</f>
        <v/>
      </c>
    </row>
    <row r="614">
      <c r="A614" s="5" t="n"/>
      <c r="B614" s="69" t="n"/>
      <c r="C614" s="41" t="n"/>
    </row>
    <row r="615">
      <c r="A615" s="41" t="inlineStr">
        <is>
          <t>2026.04.28當沖</t>
        </is>
      </c>
      <c r="B615" s="72" t="inlineStr">
        <is>
          <t>買</t>
        </is>
      </c>
      <c r="C615" s="72">
        <f>SUMIF(A605:A611,"&lt;0")-A607-A611</f>
        <v/>
      </c>
    </row>
    <row r="616">
      <c r="A616" s="41">
        <f>"SPY " &amp; COUNT(C605:C611) * 100 &amp; "股"</f>
        <v/>
      </c>
      <c r="B616" s="72" t="inlineStr">
        <is>
          <t>賣</t>
        </is>
      </c>
      <c r="C616" s="72">
        <f>SUMIF(A605:A611,"&gt;0")</f>
        <v/>
      </c>
    </row>
    <row r="617" ht="17.25" customHeight="1" s="44" thickBot="1">
      <c r="A617" s="68" t="n"/>
      <c r="B617" s="72" t="inlineStr">
        <is>
          <t>當日損益</t>
        </is>
      </c>
      <c r="C617" s="73">
        <f>+C615+C616</f>
        <v/>
      </c>
    </row>
    <row r="618" ht="17.25" customHeight="1" s="44" thickTop="1">
      <c r="A618" s="68" t="n"/>
      <c r="B618" s="72" t="inlineStr">
        <is>
          <t>當日損益 %</t>
        </is>
      </c>
      <c r="C618" s="36">
        <f>C617/ABS(C615)</f>
        <v/>
      </c>
    </row>
    <row r="619">
      <c r="A619" s="5" t="n"/>
      <c r="B619" s="41" t="n"/>
      <c r="C619" s="41" t="n"/>
    </row>
    <row r="620">
      <c r="A620" s="41" t="inlineStr">
        <is>
          <t>累積留倉   200股</t>
        </is>
      </c>
      <c r="B620" s="41" t="n"/>
      <c r="C620" s="41" t="n"/>
    </row>
    <row r="621">
      <c r="A621" s="41" t="inlineStr">
        <is>
          <t>2026.04.28 留倉</t>
        </is>
      </c>
      <c r="B621" s="41" t="inlineStr">
        <is>
          <t>買 100股</t>
        </is>
      </c>
      <c r="C621" s="72">
        <f>A607</f>
        <v/>
      </c>
    </row>
    <row r="622">
      <c r="A622" s="41" t="inlineStr">
        <is>
          <t>2026.04.28 留倉</t>
        </is>
      </c>
      <c r="B622" s="41" t="inlineStr">
        <is>
          <t>買 100股</t>
        </is>
      </c>
      <c r="C622" s="72">
        <f>A611</f>
        <v/>
      </c>
    </row>
    <row r="623">
      <c r="A623" s="5" t="n"/>
      <c r="B623" s="41" t="n"/>
      <c r="C623" s="41" t="n"/>
    </row>
    <row r="624">
      <c r="A624" s="5" t="n"/>
      <c r="B624" s="41" t="n"/>
      <c r="C624" s="41" t="n"/>
    </row>
    <row r="625" ht="30" customHeight="1" s="44">
      <c r="A625" s="68" t="inlineStr">
        <is>
          <t>2026.04.29</t>
        </is>
      </c>
      <c r="B625" s="69" t="n">
        <v>99239.37</v>
      </c>
      <c r="C625" s="70" t="inlineStr">
        <is>
          <t>損益</t>
        </is>
      </c>
    </row>
    <row r="626">
      <c r="A626" s="2" t="n">
        <v>-71114</v>
      </c>
      <c r="B626" s="69">
        <f>+B625+A626</f>
        <v/>
      </c>
      <c r="C626" s="13" t="n"/>
    </row>
    <row r="627">
      <c r="A627" s="2" t="n">
        <v>71146.00999999999</v>
      </c>
      <c r="B627" s="69">
        <f>+B626+A627</f>
        <v/>
      </c>
      <c r="C627" s="14" t="n">
        <v>32.01</v>
      </c>
    </row>
    <row r="628">
      <c r="A628" s="2" t="n"/>
      <c r="B628" s="72" t="inlineStr">
        <is>
          <t xml:space="preserve">合計 </t>
        </is>
      </c>
      <c r="C628" s="71">
        <f>SUM(C626:C627)</f>
        <v/>
      </c>
    </row>
    <row r="629">
      <c r="A629" s="2" t="n"/>
      <c r="B629" s="72" t="inlineStr">
        <is>
          <t>核驗</t>
        </is>
      </c>
      <c r="C629" s="71">
        <f>+B627-B625</f>
        <v/>
      </c>
    </row>
    <row r="630">
      <c r="A630" s="5" t="n"/>
      <c r="B630" s="69" t="n"/>
      <c r="C630" s="41" t="n"/>
    </row>
    <row r="631">
      <c r="A631" s="41" t="inlineStr">
        <is>
          <t>2026.04.29當沖</t>
        </is>
      </c>
      <c r="B631" s="72" t="inlineStr">
        <is>
          <t>買</t>
        </is>
      </c>
      <c r="C631" s="72">
        <f>SUMIF(A626:A627,"&lt;0")</f>
        <v/>
      </c>
    </row>
    <row r="632">
      <c r="A632" s="41">
        <f>"SPY " &amp; COUNT(C626:C627) * 100 &amp; "股"</f>
        <v/>
      </c>
      <c r="B632" s="72" t="inlineStr">
        <is>
          <t>賣</t>
        </is>
      </c>
      <c r="C632" s="72">
        <f>SUMIF(A626:A627,"&gt;0")</f>
        <v/>
      </c>
    </row>
    <row r="633" ht="17.25" customHeight="1" s="44" thickBot="1">
      <c r="A633" s="68" t="n"/>
      <c r="B633" s="72" t="inlineStr">
        <is>
          <t>當日損益</t>
        </is>
      </c>
      <c r="C633" s="73">
        <f>+C631+C632</f>
        <v/>
      </c>
    </row>
    <row r="634" ht="17.25" customHeight="1" s="44" thickTop="1">
      <c r="A634" s="68" t="n"/>
      <c r="B634" s="72" t="inlineStr">
        <is>
          <t>當日損益 %</t>
        </is>
      </c>
      <c r="C634" s="36">
        <f>C633/ABS(C631)</f>
        <v/>
      </c>
    </row>
    <row r="635">
      <c r="A635" s="5" t="n"/>
      <c r="B635" s="41" t="n"/>
      <c r="C635" s="41" t="n"/>
    </row>
    <row r="636">
      <c r="A636" s="41" t="inlineStr">
        <is>
          <t>累積留倉   200股</t>
        </is>
      </c>
      <c r="B636" s="41" t="n"/>
      <c r="C636" s="41" t="n"/>
    </row>
    <row r="637">
      <c r="A637" s="41" t="inlineStr">
        <is>
          <t>2026.04.28 留倉</t>
        </is>
      </c>
      <c r="B637" s="41" t="inlineStr">
        <is>
          <t>買 100股</t>
        </is>
      </c>
      <c r="C637" s="72">
        <f>C621</f>
        <v/>
      </c>
    </row>
    <row r="638">
      <c r="A638" s="41" t="inlineStr">
        <is>
          <t>2026.04.28 留倉</t>
        </is>
      </c>
      <c r="B638" s="41" t="inlineStr">
        <is>
          <t>買 100股</t>
        </is>
      </c>
      <c r="C638" s="72">
        <f>C622</f>
        <v/>
      </c>
    </row>
    <row r="639">
      <c r="A639" s="5" t="n"/>
      <c r="B639" s="41" t="n"/>
      <c r="C639" s="41" t="n"/>
    </row>
    <row r="640">
      <c r="A640" s="5" t="n"/>
      <c r="B640" s="41" t="n"/>
      <c r="C640" s="41" t="n"/>
    </row>
    <row r="641" ht="30" customHeight="1" s="44">
      <c r="A641" s="68" t="inlineStr">
        <is>
          <t>2026.04.30</t>
        </is>
      </c>
      <c r="B641" s="69" t="n">
        <v>-181432.03</v>
      </c>
      <c r="C641" s="70" t="inlineStr">
        <is>
          <t>損益</t>
        </is>
      </c>
    </row>
    <row r="642">
      <c r="A642" s="2" t="n">
        <v>71465.51999999999</v>
      </c>
      <c r="B642" s="69">
        <f>+B641+A642</f>
        <v/>
      </c>
      <c r="C642" s="14" t="n">
        <v>260.52</v>
      </c>
    </row>
    <row r="643">
      <c r="A643" s="2" t="n">
        <v>71416.00999999999</v>
      </c>
      <c r="B643" s="69">
        <f>+B642+A643</f>
        <v/>
      </c>
      <c r="C643" s="14" t="n">
        <v>175.63</v>
      </c>
    </row>
    <row r="644">
      <c r="A644" s="2" t="n">
        <v>-71439.34</v>
      </c>
      <c r="B644" s="69">
        <f>+B643+A644</f>
        <v/>
      </c>
      <c r="C644" s="13" t="n"/>
    </row>
    <row r="645">
      <c r="A645" s="2" t="n">
        <v>71430.50999999999</v>
      </c>
      <c r="B645" s="69">
        <f>+B644+A645</f>
        <v/>
      </c>
      <c r="C645" s="15" t="n">
        <v>-8.83</v>
      </c>
    </row>
    <row r="646">
      <c r="A646" s="2" t="n"/>
      <c r="B646" s="72" t="inlineStr">
        <is>
          <t xml:space="preserve">合計 </t>
        </is>
      </c>
      <c r="C646" s="71">
        <f>SUM(C644:C645)</f>
        <v/>
      </c>
    </row>
    <row r="647">
      <c r="A647" s="2" t="n"/>
      <c r="B647" s="72" t="inlineStr">
        <is>
          <t>核驗</t>
        </is>
      </c>
      <c r="C647" s="71">
        <f>+B645-B643</f>
        <v/>
      </c>
    </row>
    <row r="648">
      <c r="A648" s="5" t="n"/>
      <c r="B648" s="69" t="n"/>
      <c r="C648" s="41" t="n"/>
    </row>
    <row r="649">
      <c r="A649" s="41" t="inlineStr">
        <is>
          <t>2026.04.30當沖</t>
        </is>
      </c>
      <c r="B649" s="72" t="inlineStr">
        <is>
          <t>買</t>
        </is>
      </c>
      <c r="C649" s="72">
        <f>SUMIF(A644:A645,"&lt;0")</f>
        <v/>
      </c>
    </row>
    <row r="650">
      <c r="A650" s="41">
        <f>"SPY " &amp; COUNT(C644:C645) * 100 &amp; "股"</f>
        <v/>
      </c>
      <c r="B650" s="72" t="inlineStr">
        <is>
          <t>賣</t>
        </is>
      </c>
      <c r="C650" s="72">
        <f>SUMIF(A644:A645,"&gt;0")</f>
        <v/>
      </c>
    </row>
    <row r="651" ht="17.25" customHeight="1" s="44" thickBot="1">
      <c r="A651" s="68" t="n"/>
      <c r="B651" s="72" t="inlineStr">
        <is>
          <t>當日損益</t>
        </is>
      </c>
      <c r="C651" s="73">
        <f>+C649+C650</f>
        <v/>
      </c>
    </row>
    <row r="652" ht="17.25" customHeight="1" s="44" thickTop="1">
      <c r="A652" s="68" t="n"/>
      <c r="B652" s="72" t="inlineStr">
        <is>
          <t>當日損益 %</t>
        </is>
      </c>
      <c r="C652" s="36">
        <f>C651/ABS(C649)</f>
        <v/>
      </c>
    </row>
    <row r="653">
      <c r="A653" s="5" t="n"/>
      <c r="B653" s="41" t="n"/>
      <c r="C653" s="41" t="n"/>
    </row>
    <row r="654">
      <c r="A654" s="5" t="n"/>
      <c r="B654" s="41" t="n"/>
      <c r="C654" s="41" t="n"/>
    </row>
    <row r="655">
      <c r="A655" s="41" t="inlineStr">
        <is>
          <t>2026.04.28買入</t>
        </is>
      </c>
      <c r="B655" s="72" t="inlineStr">
        <is>
          <t>100股</t>
        </is>
      </c>
      <c r="C655" s="72">
        <f>C638</f>
        <v/>
      </c>
    </row>
    <row r="656">
      <c r="A656" s="41" t="inlineStr">
        <is>
          <t>2026.04.30平倉</t>
        </is>
      </c>
      <c r="B656" s="72" t="inlineStr">
        <is>
          <t>100股</t>
        </is>
      </c>
      <c r="C656" s="72">
        <f>A642</f>
        <v/>
      </c>
    </row>
    <row r="657" ht="17.25" customHeight="1" s="44" thickBot="1">
      <c r="A657" s="68" t="n"/>
      <c r="B657" s="72" t="inlineStr">
        <is>
          <t>當日損益</t>
        </is>
      </c>
      <c r="C657" s="73">
        <f>+C655+C656</f>
        <v/>
      </c>
    </row>
    <row r="658" ht="17.25" customHeight="1" s="44" thickTop="1">
      <c r="A658" s="68" t="n"/>
      <c r="B658" s="72" t="inlineStr">
        <is>
          <t>當日損益 %</t>
        </is>
      </c>
      <c r="C658" s="36">
        <f>C657/ABS(C655)</f>
        <v/>
      </c>
    </row>
    <row r="659">
      <c r="A659" s="41" t="n"/>
      <c r="B659" s="41" t="n"/>
      <c r="C659" s="41" t="n"/>
    </row>
    <row r="660">
      <c r="A660" s="41" t="inlineStr">
        <is>
          <t>2026.04.28買入</t>
        </is>
      </c>
      <c r="B660" s="72" t="inlineStr">
        <is>
          <t>100股</t>
        </is>
      </c>
      <c r="C660" s="72">
        <f>C637</f>
        <v/>
      </c>
    </row>
    <row r="661">
      <c r="A661" s="41" t="inlineStr">
        <is>
          <t>2026.04.30平倉</t>
        </is>
      </c>
      <c r="B661" s="72" t="inlineStr">
        <is>
          <t>100股</t>
        </is>
      </c>
      <c r="C661" s="72">
        <f>A643</f>
        <v/>
      </c>
    </row>
    <row r="662" ht="17.25" customHeight="1" s="44" thickBot="1">
      <c r="A662" s="68" t="n"/>
      <c r="B662" s="72" t="inlineStr">
        <is>
          <t>當日損益</t>
        </is>
      </c>
      <c r="C662" s="73">
        <f>+C660+C661</f>
        <v/>
      </c>
    </row>
    <row r="663" ht="17.25" customHeight="1" s="44" thickTop="1">
      <c r="A663" s="68" t="n"/>
      <c r="B663" s="72" t="inlineStr">
        <is>
          <t>當日損益 %</t>
        </is>
      </c>
      <c r="C663" s="36">
        <f>C662/ABS(C660)</f>
        <v/>
      </c>
    </row>
    <row r="664">
      <c r="A664" s="5" t="n"/>
      <c r="B664" s="41" t="n"/>
      <c r="C664" s="41" t="n"/>
    </row>
    <row r="665">
      <c r="A665" s="5" t="n"/>
      <c r="B665" s="41" t="n"/>
      <c r="C665" s="41" t="n"/>
    </row>
    <row r="666" ht="30" customHeight="1" s="44">
      <c r="A666" s="68" t="inlineStr">
        <is>
          <t>2026.05.01</t>
        </is>
      </c>
      <c r="B666" s="69" t="n">
        <v>-38559.33</v>
      </c>
      <c r="C666" s="70" t="inlineStr">
        <is>
          <t>損益</t>
        </is>
      </c>
    </row>
    <row r="667">
      <c r="A667" s="2" t="n">
        <v>-72317.85000000001</v>
      </c>
      <c r="B667" s="69">
        <f>+B666+A667</f>
        <v/>
      </c>
      <c r="C667" s="13" t="n"/>
    </row>
    <row r="668">
      <c r="A668" s="2" t="n">
        <v>72320.99000000001</v>
      </c>
      <c r="B668" s="69">
        <f>+B667+A668</f>
        <v/>
      </c>
      <c r="C668" s="14" t="n">
        <v>3.14</v>
      </c>
    </row>
    <row r="669">
      <c r="A669" s="2" t="n">
        <v>-72341</v>
      </c>
      <c r="B669" s="69">
        <f>+B668+A669</f>
        <v/>
      </c>
      <c r="C669" s="13" t="n"/>
    </row>
    <row r="670">
      <c r="A670" s="2" t="n">
        <v>2893.56</v>
      </c>
      <c r="B670" s="69">
        <f>+B669+A670</f>
        <v/>
      </c>
      <c r="C670" s="13" t="n"/>
    </row>
    <row r="671">
      <c r="A671" s="2" t="n">
        <v>69445.05</v>
      </c>
      <c r="B671" s="69">
        <f>+B670+A671</f>
        <v/>
      </c>
      <c r="C671" s="15" t="n">
        <v>-2.39</v>
      </c>
    </row>
    <row r="672">
      <c r="A672" s="2" t="n">
        <v>-72220</v>
      </c>
      <c r="B672" s="69">
        <f>+B671+A672</f>
        <v/>
      </c>
      <c r="C672" s="13" t="n"/>
    </row>
    <row r="673">
      <c r="A673" s="2" t="n">
        <v>72248.40000000001</v>
      </c>
      <c r="B673" s="69">
        <f>+B672+A673</f>
        <v/>
      </c>
      <c r="C673" s="14" t="n">
        <v>28.4</v>
      </c>
    </row>
    <row r="674">
      <c r="A674" s="2" t="n"/>
      <c r="B674" s="72" t="inlineStr">
        <is>
          <t xml:space="preserve">合計 </t>
        </is>
      </c>
      <c r="C674" s="71">
        <f>SUM(C667:C673)</f>
        <v/>
      </c>
    </row>
    <row r="675">
      <c r="A675" s="2" t="n"/>
      <c r="B675" s="72" t="inlineStr">
        <is>
          <t>核驗</t>
        </is>
      </c>
      <c r="C675" s="71">
        <f>+B673-B666</f>
        <v/>
      </c>
    </row>
    <row r="676">
      <c r="A676" s="5" t="n"/>
      <c r="B676" s="69" t="n"/>
      <c r="C676" s="41" t="n"/>
    </row>
    <row r="677">
      <c r="A677" s="41" t="inlineStr">
        <is>
          <t>2026.04.30當沖</t>
        </is>
      </c>
      <c r="B677" s="72" t="inlineStr">
        <is>
          <t>買</t>
        </is>
      </c>
      <c r="C677" s="72">
        <f>SUMIF(A667:A673,"&lt;0")</f>
        <v/>
      </c>
    </row>
    <row r="678">
      <c r="A678" s="41">
        <f>"SPY " &amp; COUNT(C667:C673) * 100 &amp; "股"</f>
        <v/>
      </c>
      <c r="B678" s="72" t="inlineStr">
        <is>
          <t>賣</t>
        </is>
      </c>
      <c r="C678" s="72">
        <f>SUMIF(A667:A673,"&gt;0")</f>
        <v/>
      </c>
    </row>
    <row r="679" ht="17.25" customHeight="1" s="44" thickBot="1">
      <c r="A679" s="68" t="n"/>
      <c r="B679" s="72" t="inlineStr">
        <is>
          <t>當日損益</t>
        </is>
      </c>
      <c r="C679" s="73">
        <f>+C677+C678</f>
        <v/>
      </c>
    </row>
    <row r="680" ht="17.25" customHeight="1" s="44" thickTop="1">
      <c r="A680" s="68" t="n"/>
      <c r="B680" s="72" t="inlineStr">
        <is>
          <t>當日損益 %</t>
        </is>
      </c>
      <c r="C680" s="36">
        <f>C679/ABS(C677)</f>
        <v/>
      </c>
    </row>
    <row r="681">
      <c r="A681" s="5" t="n"/>
      <c r="B681" s="41" t="n"/>
      <c r="C681" s="41" t="n"/>
    </row>
    <row r="682">
      <c r="A682" s="5" t="n"/>
      <c r="B682" s="41" t="n"/>
      <c r="C682" s="41" t="n"/>
    </row>
    <row r="683">
      <c r="A683" s="5" t="n"/>
      <c r="B683" s="41" t="n"/>
      <c r="C683" s="41" t="n"/>
    </row>
    <row r="684">
      <c r="A684" s="5" t="n"/>
      <c r="B684" s="41" t="n"/>
      <c r="C684" s="41" t="n"/>
    </row>
    <row r="685" ht="30" customHeight="1" s="44">
      <c r="A685" s="68" t="inlineStr">
        <is>
          <t>2026.05.04</t>
        </is>
      </c>
      <c r="B685" s="2" t="n">
        <v>103769.7</v>
      </c>
      <c r="C685" s="70" t="inlineStr">
        <is>
          <t>損益</t>
        </is>
      </c>
    </row>
    <row r="686">
      <c r="A686" s="2" t="n">
        <v>72035.5</v>
      </c>
      <c r="B686" s="69">
        <f>+B685+A686</f>
        <v/>
      </c>
      <c r="C686" s="41" t="n"/>
    </row>
    <row r="687">
      <c r="A687" s="2" t="n">
        <v>-72099.42999999999</v>
      </c>
      <c r="B687" s="69">
        <f>+B686+A687</f>
        <v/>
      </c>
      <c r="C687" s="15" t="n">
        <v>-63.93</v>
      </c>
    </row>
    <row r="688">
      <c r="A688" s="2" t="n">
        <v>72125.5</v>
      </c>
      <c r="B688" s="69">
        <f>+B687+A688</f>
        <v/>
      </c>
      <c r="C688" s="13" t="n"/>
    </row>
    <row r="689">
      <c r="A689" s="2" t="n">
        <v>-72137</v>
      </c>
      <c r="B689" s="69">
        <f>+B688+A689</f>
        <v/>
      </c>
      <c r="C689" s="15" t="n">
        <v>-11.5</v>
      </c>
    </row>
    <row r="690">
      <c r="A690" s="2" t="n">
        <v>72122.59000000001</v>
      </c>
      <c r="B690" s="69">
        <f>+B689+A690</f>
        <v/>
      </c>
      <c r="C690" s="13" t="n"/>
    </row>
    <row r="691">
      <c r="A691" s="2" t="n">
        <v>-72184</v>
      </c>
      <c r="B691" s="69">
        <f>+B690+A691</f>
        <v/>
      </c>
      <c r="C691" s="15" t="n">
        <v>-61.41</v>
      </c>
    </row>
    <row r="692">
      <c r="A692" s="2" t="n">
        <v>-72197.5</v>
      </c>
      <c r="B692" s="69">
        <f>+B691+A692</f>
        <v/>
      </c>
      <c r="C692" s="13" t="n"/>
    </row>
    <row r="693">
      <c r="A693" s="2" t="n">
        <v>14439.3</v>
      </c>
      <c r="B693" s="69">
        <f>+B692+A693</f>
        <v/>
      </c>
      <c r="C693" s="13" t="n"/>
    </row>
    <row r="694">
      <c r="A694" s="2" t="n">
        <v>57756.79</v>
      </c>
      <c r="B694" s="69">
        <f>+B693+A694</f>
        <v/>
      </c>
      <c r="C694" s="15" t="n">
        <v>-1.41</v>
      </c>
    </row>
    <row r="695">
      <c r="A695" s="2" t="n">
        <v>-43998.38</v>
      </c>
      <c r="B695" s="69">
        <f>+B694+A695</f>
        <v/>
      </c>
      <c r="C695" s="13" t="n"/>
    </row>
    <row r="696">
      <c r="A696" s="2" t="n">
        <v>-28130.11</v>
      </c>
      <c r="B696" s="69">
        <f>+B695+A696</f>
        <v/>
      </c>
      <c r="C696" s="13" t="n"/>
    </row>
    <row r="697">
      <c r="A697" s="2" t="n">
        <v>-28814</v>
      </c>
      <c r="B697" s="69">
        <f>+B696+A697</f>
        <v/>
      </c>
      <c r="C697" s="13" t="n"/>
    </row>
    <row r="698">
      <c r="A698" s="2" t="n">
        <v>-43220.99</v>
      </c>
      <c r="B698" s="69">
        <f>+B697+A698</f>
        <v/>
      </c>
      <c r="C698" s="13" t="n"/>
    </row>
    <row r="699">
      <c r="A699" s="2" t="n">
        <v>-71790.41</v>
      </c>
      <c r="B699" s="69">
        <f>+B698+A699</f>
        <v/>
      </c>
      <c r="C699" s="13" t="n"/>
    </row>
    <row r="700">
      <c r="A700" s="2" t="n">
        <v>71834.50999999999</v>
      </c>
      <c r="B700" s="69">
        <f>+B699+A700</f>
        <v/>
      </c>
      <c r="C700" s="14" t="n">
        <v>44.1</v>
      </c>
    </row>
    <row r="701">
      <c r="A701" s="2" t="n">
        <v>-71822</v>
      </c>
      <c r="B701" s="69">
        <f>+B700+A701</f>
        <v/>
      </c>
      <c r="C701" s="13" t="n"/>
    </row>
    <row r="702">
      <c r="A702" s="2" t="n">
        <v>28727.8</v>
      </c>
      <c r="B702" s="69">
        <f>+B701+A702</f>
        <v/>
      </c>
      <c r="C702" s="13" t="n"/>
    </row>
    <row r="703">
      <c r="A703" s="2" t="n">
        <v>43090.56</v>
      </c>
      <c r="B703" s="69">
        <f>+B702+A703</f>
        <v/>
      </c>
      <c r="C703" s="15" t="n">
        <v>-3.64</v>
      </c>
    </row>
    <row r="704">
      <c r="A704" s="2" t="n">
        <v>-71774.55</v>
      </c>
      <c r="B704" s="69">
        <f>+B703+A704</f>
        <v/>
      </c>
      <c r="C704" s="13" t="n"/>
    </row>
    <row r="705">
      <c r="A705" s="2" t="n">
        <v>71793.58</v>
      </c>
      <c r="B705" s="69">
        <f>+B704+A705</f>
        <v/>
      </c>
      <c r="C705" s="14" t="n">
        <v>19.03</v>
      </c>
    </row>
    <row r="706">
      <c r="A706" s="2" t="n"/>
      <c r="B706" s="72" t="inlineStr">
        <is>
          <t xml:space="preserve">合計 </t>
        </is>
      </c>
      <c r="C706" s="71">
        <f>SUM(C686:C705)</f>
        <v/>
      </c>
    </row>
    <row r="707">
      <c r="A707" s="2" t="n"/>
      <c r="B707" s="72" t="inlineStr">
        <is>
          <t>核驗</t>
        </is>
      </c>
      <c r="C707" s="71">
        <f>+B705-B685+B694-B698</f>
        <v/>
      </c>
    </row>
    <row r="708">
      <c r="A708" s="5" t="n"/>
      <c r="B708" s="69" t="n"/>
      <c r="C708" s="41" t="n"/>
    </row>
    <row r="709">
      <c r="A709" s="41" t="inlineStr">
        <is>
          <t>2026.05.04當沖</t>
        </is>
      </c>
      <c r="B709" s="72" t="inlineStr">
        <is>
          <t>買</t>
        </is>
      </c>
      <c r="C709" s="72">
        <f>SUMIF(A686:A705,"&lt;0")-A695-A696-A697-A698</f>
        <v/>
      </c>
    </row>
    <row r="710">
      <c r="A710" s="41">
        <f>"SPY " &amp; COUNT(C686:C705) * 100 &amp; "股"</f>
        <v/>
      </c>
      <c r="B710" s="72" t="inlineStr">
        <is>
          <t>賣</t>
        </is>
      </c>
      <c r="C710" s="72">
        <f>SUMIF(A686:A705,"&gt;0")</f>
        <v/>
      </c>
    </row>
    <row r="711" ht="17.25" customHeight="1" s="44" thickBot="1">
      <c r="A711" s="68" t="n"/>
      <c r="B711" s="72" t="inlineStr">
        <is>
          <t>當日損益</t>
        </is>
      </c>
      <c r="C711" s="73">
        <f>+C709+C710</f>
        <v/>
      </c>
    </row>
    <row r="712" ht="17.25" customHeight="1" s="44" thickTop="1">
      <c r="A712" s="68" t="n"/>
      <c r="B712" s="72" t="inlineStr">
        <is>
          <t>當日損益 %</t>
        </is>
      </c>
      <c r="C712" s="36">
        <f>C711/ABS(C709)</f>
        <v/>
      </c>
    </row>
    <row r="713">
      <c r="A713" s="5" t="n"/>
      <c r="B713" s="41" t="n"/>
      <c r="C713" s="41" t="n"/>
    </row>
    <row r="714">
      <c r="A714" s="41" t="inlineStr">
        <is>
          <t>累積留倉   200股</t>
        </is>
      </c>
      <c r="B714" s="41" t="n"/>
      <c r="C714" s="41" t="n"/>
    </row>
    <row r="715">
      <c r="A715" s="41" t="inlineStr">
        <is>
          <t>2026.05.04 留倉</t>
        </is>
      </c>
      <c r="B715" s="41" t="inlineStr">
        <is>
          <t>買 100股</t>
        </is>
      </c>
      <c r="C715" s="72">
        <f>A695+A696</f>
        <v/>
      </c>
    </row>
    <row r="716">
      <c r="A716" s="41" t="inlineStr">
        <is>
          <t>2026.05.04 留倉</t>
        </is>
      </c>
      <c r="B716" s="41" t="inlineStr">
        <is>
          <t>買 100股</t>
        </is>
      </c>
      <c r="C716" s="72">
        <f>A697+A698</f>
        <v/>
      </c>
    </row>
    <row r="717">
      <c r="A717" s="5" t="n"/>
      <c r="B717" s="41" t="n"/>
      <c r="C717" s="41" t="n"/>
    </row>
    <row r="718">
      <c r="A718" s="5" t="n"/>
      <c r="B718" s="41" t="n"/>
      <c r="C718" s="41" t="n"/>
    </row>
    <row r="719">
      <c r="A719" s="5" t="n"/>
      <c r="B719" s="41" t="n"/>
      <c r="C719" s="41" t="n"/>
    </row>
    <row r="720">
      <c r="A720" s="5" t="n"/>
      <c r="B720" s="41" t="n"/>
      <c r="C720" s="41" t="n"/>
    </row>
    <row r="721" ht="30" customHeight="1" s="44">
      <c r="A721" s="68" t="inlineStr">
        <is>
          <t>2026.05.04</t>
        </is>
      </c>
      <c r="B721" s="2" t="n">
        <v>103798.85</v>
      </c>
      <c r="C721" s="70" t="inlineStr">
        <is>
          <t>損益</t>
        </is>
      </c>
    </row>
    <row r="722">
      <c r="A722" s="2" t="n">
        <v>72261.49000000001</v>
      </c>
      <c r="B722" s="69">
        <f>+B721+A722</f>
        <v/>
      </c>
      <c r="C722" s="21" t="n">
        <v>226.5</v>
      </c>
    </row>
    <row r="723">
      <c r="A723" s="2" t="n">
        <v>11561.76</v>
      </c>
      <c r="B723" s="69">
        <f>+B722+A723</f>
        <v/>
      </c>
      <c r="C723" s="22" t="n"/>
    </row>
    <row r="724">
      <c r="A724" s="2" t="n">
        <v>60699.23</v>
      </c>
      <c r="B724" s="69">
        <f>+B723+A724</f>
        <v/>
      </c>
      <c r="C724" s="23" t="n">
        <v>132.5</v>
      </c>
    </row>
    <row r="725">
      <c r="A725" s="2" t="n">
        <v>-72357.5</v>
      </c>
      <c r="B725" s="69">
        <f>+B724+A725</f>
        <v/>
      </c>
      <c r="C725" s="13" t="n"/>
    </row>
    <row r="726">
      <c r="A726" s="2" t="n">
        <v>72360.55</v>
      </c>
      <c r="B726" s="69">
        <f>+B725+A726</f>
        <v/>
      </c>
      <c r="C726" s="14" t="n">
        <v>3.05</v>
      </c>
    </row>
    <row r="727">
      <c r="A727" s="2" t="n">
        <v>-28924.4</v>
      </c>
      <c r="B727" s="69">
        <f>+B726+A727</f>
        <v/>
      </c>
      <c r="C727" s="13" t="n"/>
    </row>
    <row r="728">
      <c r="A728" s="2" t="n">
        <v>-43386.6</v>
      </c>
      <c r="B728" s="69">
        <f>+B727+A728</f>
        <v/>
      </c>
      <c r="C728" s="13" t="n"/>
    </row>
    <row r="729">
      <c r="A729" s="2" t="n">
        <v>28926.59</v>
      </c>
      <c r="B729" s="69">
        <f>+B728+A729</f>
        <v/>
      </c>
      <c r="C729" s="13" t="n"/>
    </row>
    <row r="730">
      <c r="A730" s="2" t="n">
        <v>28926.2</v>
      </c>
      <c r="B730" s="69">
        <f>+B729+A730</f>
        <v/>
      </c>
      <c r="C730" s="13" t="n"/>
    </row>
    <row r="731">
      <c r="A731" s="2" t="n">
        <v>14463.32</v>
      </c>
      <c r="B731" s="69">
        <f>+B730+A731</f>
        <v/>
      </c>
      <c r="C731" s="14" t="n">
        <v>5.11</v>
      </c>
    </row>
    <row r="732">
      <c r="A732" s="2" t="n">
        <v>-35538</v>
      </c>
      <c r="B732" s="69">
        <f>+B731+A732</f>
        <v/>
      </c>
      <c r="C732" s="13" t="n"/>
    </row>
    <row r="733">
      <c r="A733" s="2" t="n">
        <v>35479.26</v>
      </c>
      <c r="B733" s="69">
        <f>+B732+A733</f>
        <v/>
      </c>
      <c r="C733" s="15" t="n">
        <v>-58.74</v>
      </c>
    </row>
    <row r="734">
      <c r="A734" s="2" t="n"/>
      <c r="B734" s="72" t="inlineStr">
        <is>
          <t xml:space="preserve">合計 </t>
        </is>
      </c>
      <c r="C734" s="71">
        <f>SUM(C725:C731)</f>
        <v/>
      </c>
    </row>
    <row r="735">
      <c r="A735" s="2" t="n"/>
      <c r="B735" s="72" t="inlineStr">
        <is>
          <t>核驗</t>
        </is>
      </c>
      <c r="C735" s="71">
        <f>+B731-B724</f>
        <v/>
      </c>
    </row>
    <row r="736">
      <c r="A736" s="5" t="n"/>
      <c r="B736" s="69" t="n"/>
      <c r="C736" s="41" t="n"/>
    </row>
    <row r="737">
      <c r="A737" s="41" t="inlineStr">
        <is>
          <t>2026.05.05當沖</t>
        </is>
      </c>
      <c r="B737" s="72" t="inlineStr">
        <is>
          <t>買</t>
        </is>
      </c>
      <c r="C737" s="72">
        <f>SUMIF(A725:A731,"&lt;0")</f>
        <v/>
      </c>
    </row>
    <row r="738">
      <c r="A738" s="41">
        <f>"SPY " &amp; COUNT(C725:C731) * 100 &amp; "股"</f>
        <v/>
      </c>
      <c r="B738" s="72" t="inlineStr">
        <is>
          <t>賣</t>
        </is>
      </c>
      <c r="C738" s="72">
        <f>SUMIF(A725:A731,"&gt;0")</f>
        <v/>
      </c>
    </row>
    <row r="739" ht="17.25" customHeight="1" s="44" thickBot="1">
      <c r="A739" s="68" t="n"/>
      <c r="B739" s="72" t="inlineStr">
        <is>
          <t>當日損益</t>
        </is>
      </c>
      <c r="C739" s="73">
        <f>+C737+C738</f>
        <v/>
      </c>
    </row>
    <row r="740" ht="17.25" customHeight="1" s="44" thickTop="1">
      <c r="A740" s="68" t="n"/>
      <c r="B740" s="72" t="inlineStr">
        <is>
          <t>當日損益 %</t>
        </is>
      </c>
      <c r="C740" s="36">
        <f>C739/ABS(C737)</f>
        <v/>
      </c>
    </row>
    <row r="741">
      <c r="A741" s="5" t="n"/>
      <c r="B741" s="41" t="n"/>
      <c r="C741" s="41" t="n"/>
    </row>
    <row r="742">
      <c r="A742" s="41" t="inlineStr">
        <is>
          <t>2026.05.04買入</t>
        </is>
      </c>
      <c r="B742" s="72" t="inlineStr">
        <is>
          <t>100股</t>
        </is>
      </c>
      <c r="C742" s="72">
        <f>C716</f>
        <v/>
      </c>
    </row>
    <row r="743">
      <c r="A743" s="41" t="inlineStr">
        <is>
          <t>2026.05.05平倉</t>
        </is>
      </c>
      <c r="B743" s="72" t="inlineStr">
        <is>
          <t>100股</t>
        </is>
      </c>
      <c r="C743" s="72">
        <f>A722</f>
        <v/>
      </c>
    </row>
    <row r="744" ht="17.25" customHeight="1" s="44" thickBot="1">
      <c r="A744" s="68" t="n"/>
      <c r="B744" s="72" t="inlineStr">
        <is>
          <t>平倉損益</t>
        </is>
      </c>
      <c r="C744" s="73">
        <f>+C742+C743</f>
        <v/>
      </c>
    </row>
    <row r="745" ht="17.25" customHeight="1" s="44" thickTop="1">
      <c r="A745" s="68" t="n"/>
      <c r="B745" s="72" t="inlineStr">
        <is>
          <t>平倉損益 %</t>
        </is>
      </c>
      <c r="C745" s="36">
        <f>C744/ABS(C742)</f>
        <v/>
      </c>
    </row>
    <row r="746">
      <c r="A746" s="41" t="n"/>
      <c r="B746" s="41" t="n"/>
      <c r="C746" s="41" t="n"/>
    </row>
    <row r="747">
      <c r="A747" s="41" t="inlineStr">
        <is>
          <t>2026.05.04買入</t>
        </is>
      </c>
      <c r="B747" s="72" t="inlineStr">
        <is>
          <t>100股</t>
        </is>
      </c>
      <c r="C747" s="72">
        <f>C715</f>
        <v/>
      </c>
    </row>
    <row r="748">
      <c r="A748" s="41" t="inlineStr">
        <is>
          <t>2026.05.05平倉</t>
        </is>
      </c>
      <c r="B748" s="72" t="inlineStr">
        <is>
          <t>100股</t>
        </is>
      </c>
      <c r="C748" s="72">
        <f>A723+A724</f>
        <v/>
      </c>
    </row>
    <row r="749" ht="17.25" customHeight="1" s="44" thickBot="1">
      <c r="A749" s="68" t="n"/>
      <c r="B749" s="72" t="inlineStr">
        <is>
          <t>平倉損益</t>
        </is>
      </c>
      <c r="C749" s="73">
        <f>+C747+C748</f>
        <v/>
      </c>
    </row>
    <row r="750" ht="17.25" customHeight="1" s="44" thickTop="1">
      <c r="A750" s="68" t="n"/>
      <c r="B750" s="72" t="inlineStr">
        <is>
          <t>平倉損益 %</t>
        </is>
      </c>
      <c r="C750" s="36">
        <f>C749/ABS(C747)</f>
        <v/>
      </c>
    </row>
    <row r="751">
      <c r="A751" s="5" t="n"/>
      <c r="B751" s="41" t="n"/>
      <c r="C751" s="41" t="n"/>
    </row>
    <row r="752">
      <c r="A752" s="41" t="inlineStr">
        <is>
          <t>2026.05.05 當沖</t>
        </is>
      </c>
      <c r="B752" s="72" t="inlineStr">
        <is>
          <t>買</t>
        </is>
      </c>
      <c r="C752" s="72">
        <f>A732</f>
        <v/>
      </c>
    </row>
    <row r="753">
      <c r="A753" s="41">
        <f>"AMD " &amp; COUNT(C741:C742) * 100 &amp; "股"</f>
        <v/>
      </c>
      <c r="B753" s="72" t="inlineStr">
        <is>
          <t>賣</t>
        </is>
      </c>
      <c r="C753" s="72">
        <f>A733</f>
        <v/>
      </c>
    </row>
    <row r="754" ht="17.25" customHeight="1" s="44" thickBot="1">
      <c r="A754" s="68" t="n"/>
      <c r="B754" s="72" t="inlineStr">
        <is>
          <t>當日損益</t>
        </is>
      </c>
      <c r="C754" s="73">
        <f>+C752+C753</f>
        <v/>
      </c>
    </row>
    <row r="755" ht="17.25" customHeight="1" s="44" thickTop="1">
      <c r="A755" s="68" t="n"/>
      <c r="B755" s="72" t="inlineStr">
        <is>
          <t>當日損益 %</t>
        </is>
      </c>
      <c r="C755" s="36">
        <f>C754/ABS(C752)</f>
        <v/>
      </c>
    </row>
    <row r="756">
      <c r="A756" s="5" t="n"/>
      <c r="B756" s="41" t="n"/>
      <c r="C756" s="41" t="n"/>
    </row>
    <row r="757">
      <c r="A757" s="5" t="n"/>
      <c r="B757" s="41" t="n"/>
      <c r="C757" s="41" t="n"/>
    </row>
    <row r="758">
      <c r="A758" s="5" t="n"/>
      <c r="B758" s="41" t="n"/>
      <c r="C758" s="41" t="n"/>
    </row>
    <row r="759" ht="30" customHeight="1" s="44">
      <c r="A759" s="68" t="inlineStr">
        <is>
          <t>2026.05.06</t>
        </is>
      </c>
      <c r="B759" s="41" t="n"/>
      <c r="C759" s="41" t="n"/>
    </row>
    <row r="760">
      <c r="A760" s="12" t="inlineStr">
        <is>
          <t>無當沖</t>
        </is>
      </c>
      <c r="B760" s="41" t="n"/>
      <c r="C760" s="41" t="n"/>
    </row>
    <row r="761">
      <c r="A761" s="5" t="n"/>
      <c r="B761" s="41" t="n"/>
      <c r="C761" s="41" t="n"/>
    </row>
    <row r="762">
      <c r="A762" s="5" t="n"/>
      <c r="B762" s="41" t="n"/>
      <c r="C762" s="41" t="n"/>
    </row>
    <row r="763">
      <c r="A763" s="5" t="n"/>
      <c r="B763" s="41" t="n"/>
      <c r="C763" s="41" t="n"/>
    </row>
    <row r="764">
      <c r="A764" s="5" t="n"/>
      <c r="B764" s="41" t="n"/>
      <c r="C764" s="41" t="n"/>
    </row>
    <row r="765">
      <c r="A765" s="5" t="n"/>
      <c r="B765" s="41" t="n"/>
      <c r="C765" s="41" t="n"/>
    </row>
    <row r="766" ht="30" customHeight="1" s="44">
      <c r="A766" s="68" t="inlineStr">
        <is>
          <t>2026.05.07</t>
        </is>
      </c>
      <c r="B766" s="2" t="n">
        <v>104028.51</v>
      </c>
      <c r="C766" s="70" t="inlineStr">
        <is>
          <t>損益</t>
        </is>
      </c>
    </row>
    <row r="767">
      <c r="A767" s="24" t="n">
        <v>-29373.2</v>
      </c>
      <c r="B767" s="69">
        <f>+B766+A767</f>
        <v/>
      </c>
      <c r="C767" s="41" t="n"/>
    </row>
    <row r="768">
      <c r="A768" s="24" t="n">
        <v>-44059.8</v>
      </c>
      <c r="B768" s="69">
        <f>+B767+A768</f>
        <v/>
      </c>
      <c r="C768" s="41" t="n"/>
    </row>
    <row r="769">
      <c r="A769" s="24" t="n">
        <v>73473.61</v>
      </c>
      <c r="B769" s="69">
        <f>+B768+A769</f>
        <v/>
      </c>
      <c r="C769" s="41" t="n">
        <v>40.61</v>
      </c>
    </row>
    <row r="770">
      <c r="A770" s="24" t="n">
        <v>-36739.25</v>
      </c>
      <c r="B770" s="69">
        <f>+B769+A770</f>
        <v/>
      </c>
      <c r="C770" s="41" t="n"/>
    </row>
    <row r="771">
      <c r="A771" s="24" t="n">
        <v>-36739.25</v>
      </c>
      <c r="B771" s="69">
        <f>+B770+A771</f>
        <v/>
      </c>
      <c r="C771" s="41" t="n"/>
    </row>
    <row r="772">
      <c r="A772" s="24" t="n">
        <v>2939.12</v>
      </c>
      <c r="B772" s="69">
        <f>+B771+A772</f>
        <v/>
      </c>
      <c r="C772" s="41" t="n"/>
    </row>
    <row r="773">
      <c r="A773" s="24" t="n">
        <v>70538.86</v>
      </c>
      <c r="B773" s="69">
        <f>+B772+A773</f>
        <v/>
      </c>
      <c r="C773" s="41" t="n">
        <v>-0.52</v>
      </c>
    </row>
    <row r="774">
      <c r="A774" s="24" t="n">
        <v>-29409.2</v>
      </c>
      <c r="B774" s="69">
        <f>+B773+A774</f>
        <v/>
      </c>
      <c r="C774" s="41" t="n"/>
    </row>
    <row r="775">
      <c r="A775" s="24" t="n">
        <v>-44113.79</v>
      </c>
      <c r="B775" s="69">
        <f>+B774+A775</f>
        <v/>
      </c>
      <c r="C775" s="41" t="n"/>
    </row>
    <row r="776">
      <c r="A776" s="24" t="n">
        <v>73543.96000000001</v>
      </c>
      <c r="B776" s="69">
        <f>+B775+A776</f>
        <v/>
      </c>
      <c r="C776" s="41" t="n">
        <v>20.97</v>
      </c>
    </row>
    <row r="777">
      <c r="A777" s="24" t="n">
        <v>-73550.99000000001</v>
      </c>
      <c r="B777" s="69">
        <f>+B776+A777</f>
        <v/>
      </c>
      <c r="C777" s="41" t="n"/>
    </row>
    <row r="778">
      <c r="A778" s="2" t="n">
        <v>-43913.99</v>
      </c>
      <c r="B778" s="69">
        <f>+B777+A778</f>
        <v/>
      </c>
      <c r="C778" s="13" t="n"/>
    </row>
    <row r="779">
      <c r="A779" s="2" t="n">
        <v>-29276</v>
      </c>
      <c r="B779" s="69">
        <f>+B778+A779</f>
        <v/>
      </c>
      <c r="C779" s="13" t="n"/>
    </row>
    <row r="780">
      <c r="A780" s="2" t="n">
        <v>73367.47</v>
      </c>
      <c r="B780" s="69">
        <f>+B779+A780</f>
        <v/>
      </c>
      <c r="C780" s="14" t="n">
        <v>177.48</v>
      </c>
    </row>
    <row r="781">
      <c r="A781" s="2" t="n">
        <v>73367.47</v>
      </c>
      <c r="B781" s="69">
        <f>+B780+A781</f>
        <v/>
      </c>
      <c r="C781" s="15" t="n">
        <v>-183.52</v>
      </c>
    </row>
    <row r="782">
      <c r="A782" s="25" t="n">
        <v>-73257.5</v>
      </c>
      <c r="B782" s="78">
        <f>+B781+A782</f>
        <v/>
      </c>
      <c r="C782" s="26" t="n"/>
    </row>
    <row r="783">
      <c r="A783" s="2" t="n"/>
      <c r="B783" s="72" t="inlineStr">
        <is>
          <t xml:space="preserve">合計 </t>
        </is>
      </c>
      <c r="C783" s="71">
        <f>SUM(C767:C782)</f>
        <v/>
      </c>
    </row>
    <row r="784">
      <c r="A784" s="2" t="n"/>
      <c r="B784" s="72" t="inlineStr">
        <is>
          <t>核驗</t>
        </is>
      </c>
      <c r="C784" s="71">
        <f>+B781-B766</f>
        <v/>
      </c>
    </row>
    <row r="785">
      <c r="A785" s="5" t="n"/>
      <c r="B785" s="69" t="n"/>
      <c r="C785" s="41" t="n"/>
    </row>
    <row r="786">
      <c r="A786" s="41" t="inlineStr">
        <is>
          <t>2026.05.07當沖</t>
        </is>
      </c>
      <c r="B786" s="72" t="inlineStr">
        <is>
          <t>買</t>
        </is>
      </c>
      <c r="C786" s="72">
        <f>SUMIF(A767:A781,"&lt;0")</f>
        <v/>
      </c>
    </row>
    <row r="787">
      <c r="A787" s="41">
        <f>"SPY " &amp; COUNT(C767:C781) * 100 &amp; "股"</f>
        <v/>
      </c>
      <c r="B787" s="72" t="inlineStr">
        <is>
          <t>賣</t>
        </is>
      </c>
      <c r="C787" s="72">
        <f>SUMIF(A767:A781,"&gt;0")</f>
        <v/>
      </c>
    </row>
    <row r="788" ht="17.25" customHeight="1" s="44" thickBot="1">
      <c r="A788" s="68" t="n"/>
      <c r="B788" s="72" t="inlineStr">
        <is>
          <t>當日損益</t>
        </is>
      </c>
      <c r="C788" s="73">
        <f>+C786+C787</f>
        <v/>
      </c>
    </row>
    <row r="789" ht="17.25" customHeight="1" s="44" thickTop="1">
      <c r="A789" s="68" t="n"/>
      <c r="B789" s="72" t="inlineStr">
        <is>
          <t>當日損益 %</t>
        </is>
      </c>
      <c r="C789" s="36">
        <f>C788/ABS(C786)</f>
        <v/>
      </c>
    </row>
    <row r="790">
      <c r="A790" s="5" t="n"/>
      <c r="B790" s="41" t="n"/>
      <c r="C790" s="41" t="n"/>
    </row>
    <row r="791">
      <c r="A791" s="41" t="inlineStr">
        <is>
          <t>累積留倉   100股</t>
        </is>
      </c>
      <c r="B791" s="41" t="n"/>
      <c r="C791" s="41" t="n"/>
    </row>
    <row r="792">
      <c r="A792" s="41" t="inlineStr">
        <is>
          <t>2026.05.07 留倉</t>
        </is>
      </c>
      <c r="B792" s="41" t="inlineStr">
        <is>
          <t>買 100股</t>
        </is>
      </c>
      <c r="C792" s="72">
        <f>A782</f>
        <v/>
      </c>
    </row>
    <row r="793">
      <c r="A793" s="5" t="n"/>
      <c r="B793" s="41" t="n"/>
      <c r="C793" s="41" t="n"/>
    </row>
    <row r="794">
      <c r="A794" s="5" t="n"/>
      <c r="B794" s="41" t="n"/>
      <c r="C794" s="41" t="n"/>
    </row>
    <row r="795" ht="30" customHeight="1" s="44">
      <c r="A795" s="68" t="inlineStr">
        <is>
          <t>2026.05.08</t>
        </is>
      </c>
      <c r="B795" s="2" t="n">
        <v>104028.51</v>
      </c>
      <c r="C795" s="70" t="inlineStr">
        <is>
          <t>損益</t>
        </is>
      </c>
    </row>
    <row r="796">
      <c r="A796" s="27" t="n">
        <v>73514.97</v>
      </c>
      <c r="B796" s="79">
        <f>+B795+A796</f>
        <v/>
      </c>
      <c r="C796" s="28" t="n">
        <v>257.47</v>
      </c>
    </row>
    <row r="797">
      <c r="A797" s="24" t="n">
        <v>-73517</v>
      </c>
      <c r="B797" s="69">
        <f>+B796+A797</f>
        <v/>
      </c>
      <c r="C797" s="41" t="n"/>
    </row>
    <row r="798">
      <c r="A798" s="24" t="n">
        <v>67724.89999999999</v>
      </c>
      <c r="B798" s="69">
        <f>+B797+A798</f>
        <v/>
      </c>
      <c r="C798" s="41" t="n"/>
    </row>
    <row r="799">
      <c r="A799" s="24" t="n">
        <v>5889.12</v>
      </c>
      <c r="B799" s="69">
        <f>+B798+A799</f>
        <v/>
      </c>
      <c r="C799" s="41" t="n">
        <v>97.02</v>
      </c>
    </row>
    <row r="800">
      <c r="A800" s="24" t="n">
        <v>-73668</v>
      </c>
      <c r="B800" s="69">
        <f>+B799+A800</f>
        <v/>
      </c>
      <c r="C800" s="41" t="n"/>
    </row>
    <row r="801">
      <c r="A801" s="24" t="n">
        <v>73716.46000000001</v>
      </c>
      <c r="B801" s="69">
        <f>+B800+A801</f>
        <v/>
      </c>
      <c r="C801" s="41" t="n">
        <v>48.46</v>
      </c>
    </row>
    <row r="802">
      <c r="A802" s="24" t="n">
        <v>-73716.72</v>
      </c>
      <c r="B802" s="69">
        <f>+B801+A802</f>
        <v/>
      </c>
      <c r="C802" s="41" t="n"/>
    </row>
    <row r="803">
      <c r="A803" s="24" t="n">
        <v>73721.96000000001</v>
      </c>
      <c r="B803" s="69">
        <f>+B802+A803</f>
        <v/>
      </c>
      <c r="C803" s="41" t="n">
        <v>5.24</v>
      </c>
    </row>
    <row r="804">
      <c r="A804" s="24" t="n">
        <v>-73674.5</v>
      </c>
      <c r="B804" s="69">
        <f>+B803+A804</f>
        <v/>
      </c>
      <c r="C804" s="41" t="n"/>
    </row>
    <row r="805">
      <c r="A805" s="24" t="n">
        <v>73638.75999999999</v>
      </c>
      <c r="B805" s="69">
        <f>+B804+A805</f>
        <v/>
      </c>
      <c r="C805" s="41" t="n">
        <v>-35.74</v>
      </c>
    </row>
    <row r="806">
      <c r="A806" s="24" t="n">
        <v>-73626</v>
      </c>
      <c r="B806" s="69">
        <f>+B805+A806</f>
        <v/>
      </c>
      <c r="C806" s="41" t="n"/>
    </row>
    <row r="807">
      <c r="A807" s="24" t="n">
        <v>73642.96000000001</v>
      </c>
      <c r="B807" s="69">
        <f>+B806+A807</f>
        <v/>
      </c>
      <c r="C807" s="41" t="n">
        <v>16.96</v>
      </c>
    </row>
    <row r="808">
      <c r="A808" s="24" t="n">
        <v>-73719.5</v>
      </c>
      <c r="B808" s="69">
        <f>+B807+A808</f>
        <v/>
      </c>
      <c r="C808" s="41" t="n"/>
    </row>
    <row r="809">
      <c r="A809" s="24" t="n">
        <v>44231.08</v>
      </c>
      <c r="B809" s="69">
        <f>+B808+A809</f>
        <v/>
      </c>
      <c r="C809" s="41" t="n"/>
    </row>
    <row r="810">
      <c r="A810" s="24" t="n">
        <v>29487.38</v>
      </c>
      <c r="B810" s="69">
        <f>+B809+A810</f>
        <v/>
      </c>
      <c r="C810" s="41" t="n">
        <v>-1.04</v>
      </c>
    </row>
    <row r="811">
      <c r="A811" s="2" t="n"/>
      <c r="B811" s="72" t="inlineStr">
        <is>
          <t xml:space="preserve">合計 </t>
        </is>
      </c>
      <c r="C811" s="71">
        <f>SUM(C799:C810)</f>
        <v/>
      </c>
    </row>
    <row r="812">
      <c r="A812" s="2" t="n"/>
      <c r="B812" s="72" t="inlineStr">
        <is>
          <t>核驗</t>
        </is>
      </c>
      <c r="C812" s="71">
        <f>+B810-B796</f>
        <v/>
      </c>
    </row>
    <row r="813">
      <c r="A813" s="5" t="n"/>
      <c r="B813" s="69" t="n"/>
      <c r="C813" s="41" t="n"/>
    </row>
    <row r="814">
      <c r="A814" s="41" t="inlineStr">
        <is>
          <t>2026.05.08當沖</t>
        </is>
      </c>
      <c r="B814" s="72" t="inlineStr">
        <is>
          <t>買</t>
        </is>
      </c>
      <c r="C814" s="72">
        <f>SUMIF(A795:A809,"&lt;0")</f>
        <v/>
      </c>
    </row>
    <row r="815">
      <c r="A815" s="41">
        <f>"SPY " &amp; COUNT(C799:C810) * 100 &amp; "股"</f>
        <v/>
      </c>
      <c r="B815" s="72" t="inlineStr">
        <is>
          <t>賣</t>
        </is>
      </c>
      <c r="C815" s="72">
        <f>SUMIF(A797:A810,"&gt;0")</f>
        <v/>
      </c>
    </row>
    <row r="816" ht="17.25" customHeight="1" s="44" thickBot="1">
      <c r="A816" s="68" t="n"/>
      <c r="B816" s="72" t="inlineStr">
        <is>
          <t>當日損益</t>
        </is>
      </c>
      <c r="C816" s="73">
        <f>+C814+C815</f>
        <v/>
      </c>
    </row>
    <row r="817" ht="17.25" customHeight="1" s="44" thickTop="1">
      <c r="A817" s="68" t="n"/>
      <c r="B817" s="72" t="inlineStr">
        <is>
          <t>當日損益 %</t>
        </is>
      </c>
      <c r="C817" s="36">
        <f>C816/ABS(C814)</f>
        <v/>
      </c>
    </row>
    <row r="818">
      <c r="A818" s="5" t="n"/>
      <c r="B818" s="41" t="n"/>
      <c r="C818" s="41" t="n"/>
    </row>
    <row r="819">
      <c r="A819" s="41" t="inlineStr">
        <is>
          <t>2026.05.07買入</t>
        </is>
      </c>
      <c r="B819" s="72" t="inlineStr">
        <is>
          <t>100股</t>
        </is>
      </c>
      <c r="C819" s="72">
        <f>C792</f>
        <v/>
      </c>
    </row>
    <row r="820">
      <c r="A820" s="41" t="inlineStr">
        <is>
          <t>2026.05.08平倉</t>
        </is>
      </c>
      <c r="B820" s="72" t="inlineStr">
        <is>
          <t>100股</t>
        </is>
      </c>
      <c r="C820" s="72">
        <f>A796</f>
        <v/>
      </c>
    </row>
    <row r="821" ht="17.25" customHeight="1" s="44" thickBot="1">
      <c r="A821" s="68" t="n"/>
      <c r="B821" s="72" t="inlineStr">
        <is>
          <t>平倉損益</t>
        </is>
      </c>
      <c r="C821" s="73">
        <f>+C819+C820</f>
        <v/>
      </c>
    </row>
    <row r="822" ht="17.25" customHeight="1" s="44" thickTop="1">
      <c r="A822" s="68" t="n"/>
      <c r="B822" s="72" t="inlineStr">
        <is>
          <t>平倉損益 %</t>
        </is>
      </c>
      <c r="C822" s="36">
        <f>C821/ABS(C819)</f>
        <v/>
      </c>
    </row>
    <row r="823">
      <c r="A823" s="5" t="n"/>
      <c r="B823" s="41" t="n"/>
      <c r="C823" s="41" t="n"/>
    </row>
    <row r="824">
      <c r="A824" s="5" t="n"/>
      <c r="B824" s="41" t="n"/>
      <c r="C824" s="41" t="n"/>
    </row>
    <row r="825" ht="30" customHeight="1" s="44">
      <c r="A825" s="68" t="inlineStr">
        <is>
          <t>2026.05.11</t>
        </is>
      </c>
      <c r="B825" s="2" t="n">
        <v>30826.03</v>
      </c>
      <c r="C825" s="70" t="inlineStr">
        <is>
          <t>損益</t>
        </is>
      </c>
    </row>
    <row r="826">
      <c r="A826" s="1" t="n">
        <v>-73947</v>
      </c>
      <c r="B826" s="69">
        <f>+B825+A826</f>
        <v/>
      </c>
      <c r="C826" s="13" t="n"/>
    </row>
    <row r="827">
      <c r="A827" s="2" t="n">
        <v>-73870</v>
      </c>
      <c r="B827" s="69">
        <f>+B826+A827</f>
        <v/>
      </c>
      <c r="C827" s="13" t="n"/>
    </row>
    <row r="828">
      <c r="A828" s="2" t="n">
        <v>29550.18</v>
      </c>
      <c r="B828" s="69">
        <f>+B827+A828</f>
        <v/>
      </c>
      <c r="C828" s="13" t="n"/>
    </row>
    <row r="829">
      <c r="A829" s="2" t="n">
        <v>44325.29</v>
      </c>
      <c r="B829" s="69">
        <f>+B828+A829</f>
        <v/>
      </c>
      <c r="C829" s="14" t="n">
        <v>5.47</v>
      </c>
    </row>
    <row r="830">
      <c r="A830" s="1" t="n">
        <v>44351.38</v>
      </c>
      <c r="B830" s="69">
        <f>+B829+A830</f>
        <v/>
      </c>
      <c r="C830" s="13" t="n"/>
    </row>
    <row r="831">
      <c r="A831" s="1" t="n">
        <v>29567.02</v>
      </c>
      <c r="B831" s="69">
        <f>+B830+A831</f>
        <v/>
      </c>
      <c r="C831" s="15" t="n">
        <v>-28.6</v>
      </c>
    </row>
    <row r="832">
      <c r="A832" s="2" t="n"/>
      <c r="B832" s="72" t="inlineStr">
        <is>
          <t xml:space="preserve">合計 </t>
        </is>
      </c>
      <c r="C832" s="71">
        <f>SUM(C820:C831)</f>
        <v/>
      </c>
    </row>
    <row r="833">
      <c r="A833" s="2" t="n"/>
      <c r="B833" s="72" t="inlineStr">
        <is>
          <t>核驗</t>
        </is>
      </c>
      <c r="C833" s="71">
        <f>+B831-B825</f>
        <v/>
      </c>
    </row>
    <row r="834">
      <c r="A834" s="5" t="n"/>
      <c r="B834" s="69" t="n"/>
      <c r="C834" s="41" t="n"/>
    </row>
    <row r="835">
      <c r="A835" s="41" t="inlineStr">
        <is>
          <t>2026.05.11當沖</t>
        </is>
      </c>
      <c r="B835" s="72" t="inlineStr">
        <is>
          <t>買</t>
        </is>
      </c>
      <c r="C835" s="72">
        <f>SUMIF(A826:A831,"&lt;0")</f>
        <v/>
      </c>
    </row>
    <row r="836">
      <c r="A836" s="41">
        <f>"SPY " &amp; COUNT(C826:C831) * 100 &amp; "股"</f>
        <v/>
      </c>
      <c r="B836" s="72" t="inlineStr">
        <is>
          <t>賣</t>
        </is>
      </c>
      <c r="C836" s="72">
        <f>SUMIF(A826:A831,"&gt;0")</f>
        <v/>
      </c>
    </row>
    <row r="837" ht="17.25" customHeight="1" s="44" thickBot="1">
      <c r="A837" s="68" t="n"/>
      <c r="B837" s="72" t="inlineStr">
        <is>
          <t>當日損益</t>
        </is>
      </c>
      <c r="C837" s="73">
        <f>+C835+C836</f>
        <v/>
      </c>
    </row>
    <row r="838" ht="17.25" customHeight="1" s="44" thickTop="1">
      <c r="A838" s="68" t="n"/>
      <c r="B838" s="72" t="inlineStr">
        <is>
          <t>當日損益 %</t>
        </is>
      </c>
      <c r="C838" s="36">
        <f>C837/ABS(C835)</f>
        <v/>
      </c>
    </row>
    <row r="839">
      <c r="A839" s="5" t="n"/>
      <c r="B839" s="41" t="n"/>
      <c r="C839" s="41" t="n"/>
    </row>
    <row r="840">
      <c r="A840" s="5" t="n"/>
      <c r="B840" s="41" t="n"/>
      <c r="C840" s="41" t="n"/>
    </row>
    <row r="841" ht="30" customHeight="1" s="44">
      <c r="A841" s="68" t="inlineStr">
        <is>
          <t>2026.05.12</t>
        </is>
      </c>
      <c r="B841" s="2" t="n">
        <v>104471.9</v>
      </c>
      <c r="C841" s="70" t="inlineStr">
        <is>
          <t>損益</t>
        </is>
      </c>
    </row>
    <row r="842">
      <c r="A842" s="24" t="n">
        <v>-73618</v>
      </c>
      <c r="B842" s="69">
        <f>+B841+A842</f>
        <v/>
      </c>
      <c r="C842" s="41" t="n"/>
    </row>
    <row r="843">
      <c r="A843" s="2" t="n">
        <v>-73530.42</v>
      </c>
      <c r="B843" s="69">
        <f>+B842+A843</f>
        <v/>
      </c>
      <c r="C843" s="41" t="n"/>
    </row>
    <row r="844">
      <c r="A844" s="2" t="n">
        <v>73612.45</v>
      </c>
      <c r="B844" s="69">
        <f>+B843+A844</f>
        <v/>
      </c>
      <c r="C844" s="41" t="n">
        <v>82.03</v>
      </c>
    </row>
    <row r="845">
      <c r="A845" s="24" t="n">
        <v>73621.46000000001</v>
      </c>
      <c r="B845" s="69">
        <f>+B844+A845</f>
        <v/>
      </c>
      <c r="C845" s="41" t="n">
        <v>3.46</v>
      </c>
    </row>
    <row r="846">
      <c r="A846" s="29" t="n">
        <v>-14711.8</v>
      </c>
      <c r="B846" s="77">
        <f>+B845+A846</f>
        <v/>
      </c>
      <c r="C846" s="30" t="n"/>
    </row>
    <row r="847">
      <c r="A847" s="29" t="n">
        <v>-14712</v>
      </c>
      <c r="B847" s="77">
        <f>+B846+A847</f>
        <v/>
      </c>
      <c r="C847" s="30" t="n"/>
    </row>
    <row r="848">
      <c r="A848" s="29" t="n">
        <v>-44136.54</v>
      </c>
      <c r="B848" s="77">
        <f>+B847+A848</f>
        <v/>
      </c>
      <c r="C848" s="30" t="n"/>
    </row>
    <row r="849">
      <c r="A849" s="29" t="n">
        <v>-29343.2</v>
      </c>
      <c r="B849" s="77">
        <f>+B848+A849</f>
        <v/>
      </c>
      <c r="C849" s="30" t="n"/>
    </row>
    <row r="850">
      <c r="A850" s="31" t="n">
        <v>-44014.8</v>
      </c>
      <c r="B850" s="77">
        <f>+B849+A850</f>
        <v/>
      </c>
      <c r="C850" s="30" t="n"/>
    </row>
    <row r="851">
      <c r="A851" s="2" t="n"/>
      <c r="B851" s="72" t="inlineStr">
        <is>
          <t xml:space="preserve">合計 </t>
        </is>
      </c>
      <c r="C851" s="71">
        <f>SUM(C844:C845)</f>
        <v/>
      </c>
    </row>
    <row r="852">
      <c r="A852" s="2" t="n"/>
      <c r="B852" s="72" t="inlineStr">
        <is>
          <t>核驗</t>
        </is>
      </c>
      <c r="C852" s="71">
        <f>+B845-B841</f>
        <v/>
      </c>
    </row>
    <row r="853">
      <c r="A853" s="5" t="n"/>
      <c r="B853" s="69" t="n"/>
      <c r="C853" s="41" t="n"/>
    </row>
    <row r="854">
      <c r="A854" s="41" t="inlineStr">
        <is>
          <t>2026.05.12當沖</t>
        </is>
      </c>
      <c r="B854" s="72" t="inlineStr">
        <is>
          <t>買</t>
        </is>
      </c>
      <c r="C854" s="72">
        <f>SUMIF(A842:A845,"&lt;0")</f>
        <v/>
      </c>
    </row>
    <row r="855">
      <c r="A855" s="41">
        <f>"SPY " &amp; COUNT(C842:C846) * 100 &amp; "股"</f>
        <v/>
      </c>
      <c r="B855" s="72" t="inlineStr">
        <is>
          <t>賣</t>
        </is>
      </c>
      <c r="C855" s="72">
        <f>SUMIF(A842:A34089,"&gt;0")</f>
        <v/>
      </c>
    </row>
    <row r="856" ht="17.25" customHeight="1" s="44" thickBot="1">
      <c r="A856" s="68" t="n"/>
      <c r="B856" s="72" t="inlineStr">
        <is>
          <t>當日損益</t>
        </is>
      </c>
      <c r="C856" s="73">
        <f>+C854+C855</f>
        <v/>
      </c>
    </row>
    <row r="857" ht="17.25" customHeight="1" s="44" thickTop="1">
      <c r="A857" s="68" t="n"/>
      <c r="B857" s="72" t="inlineStr">
        <is>
          <t>當日損益 %</t>
        </is>
      </c>
      <c r="C857" s="36">
        <f>C856/ABS(C854)</f>
        <v/>
      </c>
    </row>
    <row r="858">
      <c r="A858" s="41" t="n"/>
      <c r="B858" s="41" t="n"/>
      <c r="C858" s="41" t="n"/>
    </row>
    <row r="859">
      <c r="A859" s="5" t="n"/>
      <c r="B859" s="41" t="n"/>
      <c r="C859" s="41" t="n"/>
    </row>
    <row r="860">
      <c r="A860" s="41" t="inlineStr">
        <is>
          <t>累積留倉   200股</t>
        </is>
      </c>
      <c r="B860" s="41" t="n"/>
      <c r="C860" s="41" t="n"/>
    </row>
    <row r="861">
      <c r="A861" s="41" t="inlineStr">
        <is>
          <t>2026.05.12 留倉</t>
        </is>
      </c>
      <c r="B861" s="41" t="inlineStr">
        <is>
          <t>買 100股</t>
        </is>
      </c>
      <c r="C861" s="72">
        <f>A846+A847+A848</f>
        <v/>
      </c>
    </row>
    <row r="862">
      <c r="A862" s="41" t="inlineStr">
        <is>
          <t>2026.05.12 留倉</t>
        </is>
      </c>
      <c r="B862" s="41" t="inlineStr">
        <is>
          <t>買 100股</t>
        </is>
      </c>
      <c r="C862" s="72">
        <f>A849+A850</f>
        <v/>
      </c>
    </row>
    <row r="863">
      <c r="A863" s="5" t="n"/>
      <c r="B863" s="41" t="n"/>
      <c r="C863" s="41" t="n"/>
    </row>
    <row r="864">
      <c r="A864" s="5" t="n"/>
      <c r="B864" s="41" t="n"/>
      <c r="C864" s="41" t="n"/>
    </row>
    <row r="865">
      <c r="A865" s="5" t="n"/>
      <c r="B865" s="41" t="n"/>
      <c r="C865" s="41" t="n"/>
    </row>
    <row r="866">
      <c r="A866" s="5" t="n"/>
      <c r="B866" s="41" t="n"/>
      <c r="C866" s="41" t="n"/>
    </row>
    <row r="867" ht="30" customHeight="1" s="44">
      <c r="A867" s="68" t="inlineStr">
        <is>
          <t>2026.05.13</t>
        </is>
      </c>
      <c r="B867" s="2" t="n">
        <v>104471.9</v>
      </c>
      <c r="C867" s="70" t="inlineStr">
        <is>
          <t>損益</t>
        </is>
      </c>
    </row>
    <row r="868">
      <c r="A868" s="6" t="n">
        <v>73848.96000000001</v>
      </c>
      <c r="B868" s="69">
        <f>+B867+A868</f>
        <v/>
      </c>
      <c r="C868" s="18" t="n">
        <v>490.96</v>
      </c>
    </row>
    <row r="869">
      <c r="A869" s="6" t="n">
        <v>73895.15000000001</v>
      </c>
      <c r="B869" s="69">
        <f>+B868+A869</f>
        <v/>
      </c>
      <c r="C869" s="18" t="n">
        <v>334.81</v>
      </c>
    </row>
    <row r="870">
      <c r="A870" s="6" t="n">
        <v>-74051.53999999999</v>
      </c>
      <c r="B870" s="69">
        <f>+B869+A870</f>
        <v/>
      </c>
      <c r="C870" s="17" t="n"/>
    </row>
    <row r="871">
      <c r="A871" s="6" t="n">
        <v>74089.45</v>
      </c>
      <c r="B871" s="69">
        <f>+B870+A871</f>
        <v/>
      </c>
      <c r="C871" s="18" t="n">
        <v>37.91</v>
      </c>
    </row>
    <row r="872">
      <c r="A872" s="2" t="n"/>
      <c r="B872" s="72" t="inlineStr">
        <is>
          <t xml:space="preserve">合計 </t>
        </is>
      </c>
      <c r="C872" s="71">
        <f>SUM(C870:C871)</f>
        <v/>
      </c>
    </row>
    <row r="873">
      <c r="A873" s="2" t="n"/>
      <c r="B873" s="72" t="inlineStr">
        <is>
          <t>核驗</t>
        </is>
      </c>
      <c r="C873" s="71">
        <f>+B871-B869</f>
        <v/>
      </c>
    </row>
    <row r="874">
      <c r="A874" s="5" t="n"/>
      <c r="B874" s="69" t="n"/>
      <c r="C874" s="41" t="n"/>
    </row>
    <row r="875">
      <c r="A875" s="41" t="inlineStr">
        <is>
          <t>2026.05.13當沖</t>
        </is>
      </c>
      <c r="B875" s="72" t="inlineStr">
        <is>
          <t>買</t>
        </is>
      </c>
      <c r="C875" s="72">
        <f>SUMIF(A870:A871,"&lt;0")</f>
        <v/>
      </c>
    </row>
    <row r="876">
      <c r="A876" s="41">
        <f>"SPY " &amp; COUNT(C870:C871) * 100 &amp; "股"</f>
        <v/>
      </c>
      <c r="B876" s="72" t="inlineStr">
        <is>
          <t>賣</t>
        </is>
      </c>
      <c r="C876" s="72">
        <f>SUMIF(A870:A871,"&gt;0")</f>
        <v/>
      </c>
    </row>
    <row r="877" ht="17.25" customHeight="1" s="44" thickBot="1">
      <c r="A877" s="68" t="n"/>
      <c r="B877" s="72" t="inlineStr">
        <is>
          <t>當日損益</t>
        </is>
      </c>
      <c r="C877" s="73">
        <f>+C875+C876</f>
        <v/>
      </c>
    </row>
    <row r="878" ht="17.25" customHeight="1" s="44" thickTop="1">
      <c r="A878" s="68" t="n"/>
      <c r="B878" s="72" t="inlineStr">
        <is>
          <t>當日損益 %</t>
        </is>
      </c>
      <c r="C878" s="36">
        <f>C877/ABS(C875)</f>
        <v/>
      </c>
    </row>
    <row r="879">
      <c r="A879" s="5" t="n"/>
      <c r="B879" s="41" t="n"/>
      <c r="C879" s="41" t="n"/>
    </row>
    <row r="880">
      <c r="A880" s="41" t="inlineStr">
        <is>
          <t>2026.05.12買入</t>
        </is>
      </c>
      <c r="B880" s="72" t="inlineStr">
        <is>
          <t>100股</t>
        </is>
      </c>
      <c r="C880" s="72">
        <f>C862</f>
        <v/>
      </c>
    </row>
    <row r="881">
      <c r="A881" s="41" t="inlineStr">
        <is>
          <t>2026.05.13平倉</t>
        </is>
      </c>
      <c r="B881" s="72" t="inlineStr">
        <is>
          <t>100股</t>
        </is>
      </c>
      <c r="C881" s="72">
        <f>A868</f>
        <v/>
      </c>
    </row>
    <row r="882" ht="17.25" customHeight="1" s="44" thickBot="1">
      <c r="A882" s="68" t="n"/>
      <c r="B882" s="72" t="inlineStr">
        <is>
          <t>平倉損益</t>
        </is>
      </c>
      <c r="C882" s="73">
        <f>+C880+C881</f>
        <v/>
      </c>
    </row>
    <row r="883" ht="17.25" customHeight="1" s="44" thickTop="1">
      <c r="A883" s="68" t="n"/>
      <c r="B883" s="72" t="inlineStr">
        <is>
          <t>平倉損益 %</t>
        </is>
      </c>
      <c r="C883" s="36">
        <f>C882/ABS(C880)</f>
        <v/>
      </c>
    </row>
    <row r="884">
      <c r="A884" s="5" t="n"/>
      <c r="B884" s="41" t="n"/>
      <c r="C884" s="41" t="n"/>
    </row>
    <row r="885">
      <c r="A885" s="41" t="inlineStr">
        <is>
          <t>2026.05.12買入</t>
        </is>
      </c>
      <c r="B885" s="72" t="inlineStr">
        <is>
          <t>100股</t>
        </is>
      </c>
      <c r="C885" s="72">
        <f>C861</f>
        <v/>
      </c>
    </row>
    <row r="886">
      <c r="A886" s="41" t="inlineStr">
        <is>
          <t>2026.05.13平倉</t>
        </is>
      </c>
      <c r="B886" s="72" t="inlineStr">
        <is>
          <t>100股</t>
        </is>
      </c>
      <c r="C886" s="72">
        <f>A869</f>
        <v/>
      </c>
    </row>
    <row r="887" ht="17.25" customHeight="1" s="44" thickBot="1">
      <c r="A887" s="68" t="n"/>
      <c r="B887" s="72" t="inlineStr">
        <is>
          <t>平倉損益</t>
        </is>
      </c>
      <c r="C887" s="73">
        <f>+C885+C886</f>
        <v/>
      </c>
    </row>
    <row r="888" ht="17.25" customHeight="1" s="44" thickTop="1">
      <c r="A888" s="68" t="n"/>
      <c r="B888" s="72" t="inlineStr">
        <is>
          <t>平倉損益 %</t>
        </is>
      </c>
      <c r="C888" s="36">
        <f>C887/ABS(C885)</f>
        <v/>
      </c>
    </row>
    <row r="889">
      <c r="A889" s="5" t="n"/>
      <c r="B889" s="41" t="n"/>
      <c r="C889" s="41" t="n"/>
    </row>
    <row r="890">
      <c r="A890" s="5" t="n"/>
      <c r="B890" s="41" t="n"/>
      <c r="C890" s="41" t="n"/>
    </row>
    <row r="891">
      <c r="A891" s="5" t="n"/>
      <c r="B891" s="41" t="n"/>
      <c r="C891" s="41" t="n"/>
    </row>
    <row r="892">
      <c r="A892" s="5" t="n"/>
      <c r="B892" s="41" t="n"/>
      <c r="C892" s="41" t="n"/>
    </row>
    <row r="893">
      <c r="A893" s="5" t="n"/>
      <c r="B893" s="41" t="n"/>
      <c r="C893" s="41" t="n"/>
    </row>
    <row r="894" ht="30" customHeight="1" s="44">
      <c r="A894" s="68" t="inlineStr">
        <is>
          <t>2026.05.14</t>
        </is>
      </c>
      <c r="B894" s="2" t="n">
        <v>-42384.08</v>
      </c>
      <c r="C894" s="70" t="inlineStr">
        <is>
          <t>損益</t>
        </is>
      </c>
    </row>
    <row r="895">
      <c r="A895" s="6" t="n">
        <v>-74906.92</v>
      </c>
      <c r="B895" s="69">
        <f>+B894+A895</f>
        <v/>
      </c>
      <c r="C895" s="17" t="n"/>
    </row>
    <row r="896">
      <c r="A896" s="6" t="n">
        <v>74889.94</v>
      </c>
      <c r="B896" s="69">
        <f>+B895+A896</f>
        <v/>
      </c>
      <c r="C896" s="20" t="n">
        <v>-16.98</v>
      </c>
    </row>
    <row r="897">
      <c r="A897" s="6" t="n">
        <v>-74759.5</v>
      </c>
      <c r="B897" s="69">
        <f>+B896+A897</f>
        <v/>
      </c>
      <c r="C897" s="17" t="n"/>
    </row>
    <row r="898">
      <c r="A898" s="6" t="n">
        <v>74787.94</v>
      </c>
      <c r="B898" s="69">
        <f>+B897+A898</f>
        <v/>
      </c>
      <c r="C898" s="18" t="n">
        <v>28.44</v>
      </c>
    </row>
    <row r="899">
      <c r="A899" s="2" t="n"/>
      <c r="B899" s="72" t="inlineStr">
        <is>
          <t xml:space="preserve">合計 </t>
        </is>
      </c>
      <c r="C899" s="71">
        <f>SUM(C895:C898)</f>
        <v/>
      </c>
    </row>
    <row r="900">
      <c r="A900" s="2" t="n"/>
      <c r="B900" s="72" t="inlineStr">
        <is>
          <t>核驗</t>
        </is>
      </c>
      <c r="C900" s="71">
        <f>+B898-B894</f>
        <v/>
      </c>
    </row>
    <row r="901">
      <c r="A901" s="5" t="n"/>
      <c r="B901" s="69" t="n"/>
      <c r="C901" s="41" t="n"/>
    </row>
    <row r="902">
      <c r="A902" s="41" t="inlineStr">
        <is>
          <t>2026.05.14當沖</t>
        </is>
      </c>
      <c r="B902" s="72" t="inlineStr">
        <is>
          <t>買</t>
        </is>
      </c>
      <c r="C902" s="72">
        <f>SUMIF(A895:A34613,"&lt;0")</f>
        <v/>
      </c>
    </row>
    <row r="903">
      <c r="A903" s="41">
        <f>"SPY " &amp; COUNT(C895:C898) * 100 &amp; "股"</f>
        <v/>
      </c>
      <c r="B903" s="72" t="inlineStr">
        <is>
          <t>賣</t>
        </is>
      </c>
      <c r="C903" s="72">
        <f>SUMIF(A895:A34618,"&gt;0")</f>
        <v/>
      </c>
    </row>
    <row r="904" ht="17.25" customHeight="1" s="44" thickBot="1">
      <c r="A904" s="68" t="n"/>
      <c r="B904" s="72" t="inlineStr">
        <is>
          <t>當日損益</t>
        </is>
      </c>
      <c r="C904" s="73">
        <f>+C902+C903</f>
        <v/>
      </c>
    </row>
    <row r="905" ht="17.25" customHeight="1" s="44" thickTop="1">
      <c r="A905" s="68" t="n"/>
      <c r="B905" s="72" t="inlineStr">
        <is>
          <t>當日損益 %</t>
        </is>
      </c>
      <c r="C905" s="36">
        <f>C904/ABS(C902)</f>
        <v/>
      </c>
    </row>
    <row r="906">
      <c r="A906" s="41" t="n"/>
      <c r="B906" s="41" t="n"/>
      <c r="C906" s="41" t="n"/>
    </row>
    <row r="907">
      <c r="A907" s="41" t="n"/>
      <c r="B907" s="41" t="n"/>
      <c r="C907" s="41" t="n"/>
    </row>
    <row r="908" ht="30" customHeight="1" s="44">
      <c r="A908" s="68" t="inlineStr">
        <is>
          <t>2026.05.15</t>
        </is>
      </c>
      <c r="B908" s="2" t="n">
        <v>-42372.62</v>
      </c>
      <c r="C908" s="70" t="inlineStr">
        <is>
          <t>損益</t>
        </is>
      </c>
    </row>
    <row r="909">
      <c r="A909" s="32" t="n">
        <v>-74070.5</v>
      </c>
      <c r="B909" s="69">
        <f>+B908+A909</f>
        <v/>
      </c>
      <c r="C909" s="41" t="n"/>
    </row>
    <row r="910">
      <c r="A910" s="33" t="n">
        <v>-73925</v>
      </c>
      <c r="B910" s="69">
        <f>+B909+A910</f>
        <v/>
      </c>
      <c r="C910" s="41" t="n"/>
    </row>
    <row r="911">
      <c r="A911" s="33" t="n">
        <v>73894.46000000001</v>
      </c>
      <c r="B911" s="69">
        <f>+B910+A911</f>
        <v/>
      </c>
      <c r="C911" s="41" t="n">
        <v>-30.54</v>
      </c>
    </row>
    <row r="912">
      <c r="A912" s="32" t="n">
        <v>-73955.5</v>
      </c>
      <c r="B912" s="69">
        <f>+B911+A912</f>
        <v/>
      </c>
      <c r="C912" s="41" t="n"/>
    </row>
    <row r="913">
      <c r="A913" s="33" t="n">
        <v>-74147.5</v>
      </c>
      <c r="B913" s="69">
        <f>+B912+A913</f>
        <v/>
      </c>
      <c r="C913" s="41" t="n"/>
    </row>
    <row r="914">
      <c r="A914" s="33" t="n">
        <v>74221.95</v>
      </c>
      <c r="B914" s="69">
        <f>+B913+A914</f>
        <v/>
      </c>
      <c r="C914" s="41" t="n">
        <v>74.45</v>
      </c>
    </row>
    <row r="915">
      <c r="A915" s="33" t="n">
        <v>-74181.91</v>
      </c>
      <c r="B915" s="69">
        <f>+B914+A915</f>
        <v/>
      </c>
      <c r="C915" s="41" t="n"/>
    </row>
    <row r="916">
      <c r="A916" s="33" t="n">
        <v>74199.95</v>
      </c>
      <c r="B916" s="69">
        <f>+B915+A916</f>
        <v/>
      </c>
      <c r="C916" s="41" t="n">
        <v>18.04</v>
      </c>
    </row>
    <row r="917">
      <c r="A917" s="33" t="n">
        <v>-74122.5</v>
      </c>
      <c r="B917" s="69">
        <f>+B916+A917</f>
        <v/>
      </c>
      <c r="C917" s="41" t="n"/>
    </row>
    <row r="918">
      <c r="A918" s="33" t="n">
        <v>74159.45</v>
      </c>
      <c r="B918" s="69">
        <f>+B917+A918</f>
        <v/>
      </c>
      <c r="C918" s="41" t="n">
        <v>36.95</v>
      </c>
    </row>
    <row r="919">
      <c r="A919" s="2" t="n"/>
      <c r="B919" s="72" t="inlineStr">
        <is>
          <t xml:space="preserve">合計 </t>
        </is>
      </c>
      <c r="C919" s="71">
        <f>SUM(C909:C918)</f>
        <v/>
      </c>
    </row>
    <row r="920">
      <c r="A920" s="2" t="n"/>
      <c r="B920" s="72" t="inlineStr">
        <is>
          <t>核驗</t>
        </is>
      </c>
      <c r="C920" s="71">
        <f>+B918-B909-A912</f>
        <v/>
      </c>
    </row>
    <row r="921">
      <c r="A921" s="5" t="n"/>
      <c r="B921" s="69" t="n"/>
      <c r="C921" s="41" t="n"/>
    </row>
    <row r="922">
      <c r="A922" s="41" t="inlineStr">
        <is>
          <t>2026.05.15當沖</t>
        </is>
      </c>
      <c r="B922" s="72" t="inlineStr">
        <is>
          <t>買</t>
        </is>
      </c>
      <c r="C922" s="72">
        <f>SUMIF(A909:A918,"&lt;0")-A912-A909</f>
        <v/>
      </c>
    </row>
    <row r="923">
      <c r="A923" s="41">
        <f>"SPY " &amp; COUNT(C909:C918) * 100 &amp; "股"</f>
        <v/>
      </c>
      <c r="B923" s="72" t="inlineStr">
        <is>
          <t>賣</t>
        </is>
      </c>
      <c r="C923" s="72">
        <f>SUMIF(A909:A918,"&gt;0")</f>
        <v/>
      </c>
    </row>
    <row r="924" ht="17.25" customHeight="1" s="44" thickBot="1">
      <c r="A924" s="68" t="n"/>
      <c r="B924" s="72" t="inlineStr">
        <is>
          <t>當日損益</t>
        </is>
      </c>
      <c r="C924" s="73">
        <f>+C922+C923</f>
        <v/>
      </c>
    </row>
    <row r="925" ht="17.25" customHeight="1" s="44" thickTop="1">
      <c r="A925" s="68" t="n"/>
      <c r="B925" s="72" t="inlineStr">
        <is>
          <t>當日損益 %</t>
        </is>
      </c>
      <c r="C925" s="36">
        <f>C924/ABS(C922)</f>
        <v/>
      </c>
    </row>
    <row r="926">
      <c r="A926" s="41" t="n"/>
      <c r="B926" s="41" t="n"/>
      <c r="C926" s="41" t="n"/>
    </row>
    <row r="927">
      <c r="A927" s="41" t="n"/>
      <c r="B927" s="41" t="n"/>
      <c r="C927" s="41" t="n"/>
    </row>
    <row r="928">
      <c r="A928" s="41" t="inlineStr">
        <is>
          <t>累積留倉   200股</t>
        </is>
      </c>
      <c r="B928" s="41" t="n"/>
      <c r="C928" s="41" t="n"/>
    </row>
    <row r="929">
      <c r="A929" s="41" t="inlineStr">
        <is>
          <t>2026.05.15 留倉</t>
        </is>
      </c>
      <c r="B929" s="41" t="inlineStr">
        <is>
          <t>買 100股</t>
        </is>
      </c>
      <c r="C929" s="72">
        <f>A909</f>
        <v/>
      </c>
    </row>
    <row r="930">
      <c r="A930" s="41" t="inlineStr">
        <is>
          <t>2026.05.15 留倉</t>
        </is>
      </c>
      <c r="B930" s="41" t="inlineStr">
        <is>
          <t>買 100股</t>
        </is>
      </c>
      <c r="C930" s="72">
        <f>A912</f>
        <v/>
      </c>
    </row>
    <row r="931">
      <c r="A931" s="41" t="n"/>
      <c r="B931" s="41" t="n"/>
      <c r="C931" s="41" t="n"/>
    </row>
    <row r="932">
      <c r="A932" s="41" t="n"/>
      <c r="B932" s="41" t="n"/>
      <c r="C932" s="41" t="n"/>
    </row>
    <row r="933">
      <c r="A933" s="41" t="n"/>
      <c r="B933" s="41" t="n"/>
      <c r="C933" s="41" t="n"/>
    </row>
    <row r="934" ht="30" customHeight="1" s="44">
      <c r="A934" s="68" t="inlineStr">
        <is>
          <t>2026.05.18</t>
        </is>
      </c>
      <c r="B934" s="2" t="n">
        <v>105409.4</v>
      </c>
      <c r="C934" s="70" t="inlineStr">
        <is>
          <t>損益</t>
        </is>
      </c>
    </row>
    <row r="935">
      <c r="A935" s="33" t="n">
        <v>-73857.99000000001</v>
      </c>
      <c r="B935" s="69">
        <f>+B934+A935</f>
        <v/>
      </c>
      <c r="C935" s="41" t="n"/>
    </row>
    <row r="936">
      <c r="A936" s="33" t="n">
        <v>73719.46000000001</v>
      </c>
      <c r="B936" s="69">
        <f>+B935+A936</f>
        <v/>
      </c>
      <c r="C936" s="41" t="n">
        <v>-138.53</v>
      </c>
    </row>
    <row r="937">
      <c r="A937" s="33" t="n">
        <v>-73719.5</v>
      </c>
      <c r="B937" s="69">
        <f>+B936+A937</f>
        <v/>
      </c>
      <c r="C937" s="41" t="n"/>
    </row>
    <row r="938">
      <c r="A938" s="33" t="n">
        <v>73716.96000000001</v>
      </c>
      <c r="B938" s="69">
        <f>+B937+A938</f>
        <v/>
      </c>
      <c r="C938" s="41" t="n">
        <v>-2.54</v>
      </c>
    </row>
    <row r="939">
      <c r="A939" s="2" t="n"/>
      <c r="B939" s="72" t="inlineStr">
        <is>
          <t xml:space="preserve">合計 </t>
        </is>
      </c>
      <c r="C939" s="71">
        <f>SUM(C935:C938)</f>
        <v/>
      </c>
    </row>
    <row r="940">
      <c r="A940" s="2" t="n"/>
      <c r="B940" s="72" t="inlineStr">
        <is>
          <t>核驗</t>
        </is>
      </c>
      <c r="C940" s="71">
        <f>+B938-B934</f>
        <v/>
      </c>
    </row>
    <row r="941">
      <c r="A941" s="5" t="n"/>
      <c r="B941" s="69" t="n"/>
      <c r="C941" s="41" t="n"/>
    </row>
    <row r="942">
      <c r="A942" s="41" t="inlineStr">
        <is>
          <t>2026.05.18當沖</t>
        </is>
      </c>
      <c r="B942" s="72" t="inlineStr">
        <is>
          <t>買</t>
        </is>
      </c>
      <c r="C942" s="72">
        <f>SUMIF(A935:A938,"&lt;0")</f>
        <v/>
      </c>
    </row>
    <row r="943">
      <c r="A943" s="41">
        <f>"SPY " &amp; COUNT(C935:C938) * 100 &amp; "股"</f>
        <v/>
      </c>
      <c r="B943" s="72" t="inlineStr">
        <is>
          <t>賣</t>
        </is>
      </c>
      <c r="C943" s="72">
        <f>SUMIF(A935:A938,"&gt;0")</f>
        <v/>
      </c>
    </row>
    <row r="944" ht="17.25" customHeight="1" s="44" thickBot="1">
      <c r="A944" s="68" t="n"/>
      <c r="B944" s="72" t="inlineStr">
        <is>
          <t>當日損益</t>
        </is>
      </c>
      <c r="C944" s="73">
        <f>+C942+C943</f>
        <v/>
      </c>
    </row>
    <row r="945" ht="17.25" customHeight="1" s="44" thickTop="1">
      <c r="A945" s="68" t="n"/>
      <c r="B945" s="72" t="inlineStr">
        <is>
          <t>當日損益 %</t>
        </is>
      </c>
      <c r="C945" s="36">
        <f>C944/ABS(C942)</f>
        <v/>
      </c>
    </row>
    <row r="946">
      <c r="A946" s="41" t="n"/>
      <c r="B946" s="41" t="n"/>
      <c r="C946" s="41" t="n"/>
    </row>
    <row r="947">
      <c r="A947" s="41" t="n"/>
      <c r="B947" s="41" t="n"/>
      <c r="C947" s="41" t="n"/>
    </row>
    <row r="948">
      <c r="A948" s="41" t="inlineStr">
        <is>
          <t>累積留倉   200股</t>
        </is>
      </c>
      <c r="B948" s="41" t="n"/>
      <c r="C948" s="41" t="n"/>
    </row>
    <row r="949">
      <c r="A949" s="41" t="inlineStr">
        <is>
          <t>2026.05.15 留倉</t>
        </is>
      </c>
      <c r="B949" s="41" t="inlineStr">
        <is>
          <t>買 100股</t>
        </is>
      </c>
      <c r="C949" s="72">
        <f>C929</f>
        <v/>
      </c>
    </row>
    <row r="950">
      <c r="A950" s="41" t="inlineStr">
        <is>
          <t>2026.05.15 留倉</t>
        </is>
      </c>
      <c r="B950" s="41" t="inlineStr">
        <is>
          <t>買 100股</t>
        </is>
      </c>
      <c r="C950" s="72">
        <f>C930</f>
        <v/>
      </c>
    </row>
    <row r="951">
      <c r="A951" s="41" t="n"/>
      <c r="B951" s="41" t="n"/>
      <c r="C951" s="41" t="n"/>
    </row>
    <row r="952">
      <c r="A952" s="41" t="n"/>
      <c r="B952" s="41" t="n"/>
      <c r="C952" s="41" t="n"/>
    </row>
    <row r="953">
      <c r="A953" s="41" t="n"/>
      <c r="B953" s="41" t="n"/>
      <c r="C953" s="41" t="n"/>
    </row>
    <row r="954">
      <c r="A954" s="41" t="n"/>
      <c r="B954" s="41" t="n"/>
      <c r="C954" s="41" t="n"/>
    </row>
    <row r="955">
      <c r="A955" s="41" t="n"/>
      <c r="B955" s="41" t="n"/>
      <c r="C955" s="41" t="n"/>
    </row>
    <row r="956" ht="30" customHeight="1" s="44">
      <c r="A956" s="68" t="inlineStr">
        <is>
          <t>2026.05.19</t>
        </is>
      </c>
      <c r="B956" s="2" t="n">
        <v>-42517.7</v>
      </c>
      <c r="C956" s="70" t="inlineStr">
        <is>
          <t>損益</t>
        </is>
      </c>
    </row>
    <row r="957">
      <c r="A957" s="2" t="n">
        <v>-73469.5</v>
      </c>
      <c r="B957" s="69">
        <f>+B956+A957</f>
        <v/>
      </c>
      <c r="C957" s="13" t="n"/>
    </row>
    <row r="958">
      <c r="A958" s="2" t="n">
        <v>73366.17</v>
      </c>
      <c r="B958" s="69">
        <f>+B957+A958</f>
        <v/>
      </c>
      <c r="C958" s="15" t="n">
        <v>-103.33</v>
      </c>
    </row>
    <row r="959">
      <c r="A959" s="2" t="n">
        <v>-73222.5</v>
      </c>
      <c r="B959" s="69">
        <f>+B958+A959</f>
        <v/>
      </c>
      <c r="C959" s="13" t="n"/>
    </row>
    <row r="960">
      <c r="A960" s="2" t="n">
        <v>3663.2</v>
      </c>
      <c r="B960" s="69">
        <f>+B959+A960</f>
        <v/>
      </c>
      <c r="C960" s="13" t="n"/>
    </row>
    <row r="961">
      <c r="A961" s="2" t="n">
        <v>54946.86</v>
      </c>
      <c r="B961" s="69">
        <f>+B960+A961</f>
        <v/>
      </c>
      <c r="C961" s="13" t="n"/>
    </row>
    <row r="962">
      <c r="A962" s="2" t="n">
        <v>14652.74</v>
      </c>
      <c r="B962" s="69">
        <f>+B961+A962</f>
        <v/>
      </c>
      <c r="C962" s="14" t="n">
        <v>40.3</v>
      </c>
    </row>
    <row r="963">
      <c r="B963" s="72" t="inlineStr">
        <is>
          <t xml:space="preserve">合計 </t>
        </is>
      </c>
      <c r="C963" s="71">
        <f>SUM(C957:C962)</f>
        <v/>
      </c>
    </row>
    <row r="964">
      <c r="A964" s="2" t="n"/>
      <c r="B964" s="72" t="inlineStr">
        <is>
          <t>核驗</t>
        </is>
      </c>
      <c r="C964" s="71">
        <f>+B962-B956</f>
        <v/>
      </c>
    </row>
    <row r="965">
      <c r="A965" s="5" t="n"/>
      <c r="B965" s="69" t="n"/>
      <c r="C965" s="41" t="n"/>
    </row>
    <row r="966">
      <c r="A966" s="41" t="inlineStr">
        <is>
          <t>2026.05.18當沖</t>
        </is>
      </c>
      <c r="B966" s="72" t="inlineStr">
        <is>
          <t>買</t>
        </is>
      </c>
      <c r="C966" s="72">
        <f>SUMIF(A957:A962,"&lt;0")</f>
        <v/>
      </c>
    </row>
    <row r="967">
      <c r="A967" s="41">
        <f>"SPY " &amp; COUNT(C957:C962) * 100 &amp; "股"</f>
        <v/>
      </c>
      <c r="B967" s="72" t="inlineStr">
        <is>
          <t>賣</t>
        </is>
      </c>
      <c r="C967" s="72">
        <f>SUMIF(A957:A962,"&gt;0")</f>
        <v/>
      </c>
    </row>
    <row r="968" ht="17.25" customHeight="1" s="44" thickBot="1">
      <c r="A968" s="68" t="n"/>
      <c r="B968" s="72" t="inlineStr">
        <is>
          <t>當日損益</t>
        </is>
      </c>
      <c r="C968" s="73">
        <f>+C966+C967</f>
        <v/>
      </c>
    </row>
    <row r="969" ht="17.25" customHeight="1" s="44" thickTop="1">
      <c r="A969" s="68" t="n"/>
      <c r="B969" s="72" t="inlineStr">
        <is>
          <t>當日損益 %</t>
        </is>
      </c>
      <c r="C969" s="36">
        <f>C968/ABS(C966)</f>
        <v/>
      </c>
    </row>
    <row r="970">
      <c r="A970" s="41" t="n"/>
      <c r="B970" s="41" t="n"/>
      <c r="C970" s="41" t="n"/>
    </row>
    <row r="971">
      <c r="A971" s="41" t="n"/>
      <c r="B971" s="41" t="n"/>
      <c r="C971" s="41" t="n"/>
    </row>
    <row r="972">
      <c r="A972" s="41" t="inlineStr">
        <is>
          <t>累積留倉   200股</t>
        </is>
      </c>
      <c r="B972" s="41" t="n"/>
      <c r="C972" s="41" t="n"/>
    </row>
    <row r="973">
      <c r="A973" s="41" t="inlineStr">
        <is>
          <t>2026.05.15 留倉</t>
        </is>
      </c>
      <c r="B973" s="41" t="inlineStr">
        <is>
          <t>買 100股</t>
        </is>
      </c>
      <c r="C973" s="72">
        <f>$Y$3793</f>
        <v/>
      </c>
    </row>
    <row r="974">
      <c r="A974" s="41" t="inlineStr">
        <is>
          <t>2026.05.15 留倉</t>
        </is>
      </c>
      <c r="B974" s="41" t="inlineStr">
        <is>
          <t>買 100股</t>
        </is>
      </c>
      <c r="C974" s="72">
        <f>$Y$3794</f>
        <v/>
      </c>
    </row>
    <row r="977">
      <c r="A977" t="inlineStr">
        <is>
          <t>2026.05.20</t>
        </is>
      </c>
      <c r="B977" t="n">
        <v>-42580.73</v>
      </c>
      <c r="C977" t="inlineStr">
        <is>
          <t>損益</t>
        </is>
      </c>
    </row>
    <row r="978">
      <c r="A978" t="n">
        <v>-73554.99000000001</v>
      </c>
      <c r="B978">
        <f>+B977+A978</f>
        <v/>
      </c>
    </row>
    <row r="979">
      <c r="A979" t="n">
        <v>-73467.8</v>
      </c>
      <c r="B979">
        <f>+B978+A979</f>
        <v/>
      </c>
    </row>
    <row r="980">
      <c r="A980" t="n">
        <v>73513.97</v>
      </c>
      <c r="B980">
        <f>+B979+A980</f>
        <v/>
      </c>
      <c r="C980" t="n">
        <v>46.17</v>
      </c>
    </row>
    <row r="981">
      <c r="A981" t="n">
        <v>-73606</v>
      </c>
      <c r="B981">
        <f>+B980+A981</f>
        <v/>
      </c>
    </row>
    <row r="982">
      <c r="A982" t="n">
        <v>22116.43</v>
      </c>
      <c r="B982">
        <f>+B981+A982</f>
        <v/>
      </c>
    </row>
    <row r="983">
      <c r="A983" t="n">
        <v>22116.46</v>
      </c>
      <c r="B983">
        <f>+B982+A983</f>
        <v/>
      </c>
    </row>
    <row r="984">
      <c r="A984" t="n">
        <v>22116.43</v>
      </c>
      <c r="B984">
        <f>+B983+A984</f>
        <v/>
      </c>
    </row>
    <row r="985">
      <c r="A985" t="n">
        <v>7372.15</v>
      </c>
      <c r="B985">
        <f>+B984+A985</f>
        <v/>
      </c>
      <c r="C985" t="n">
        <v>115.47</v>
      </c>
    </row>
    <row r="986">
      <c r="A986" t="n">
        <v>73748.47</v>
      </c>
      <c r="B986">
        <f>+B985+A986</f>
        <v/>
      </c>
      <c r="C986" t="n">
        <v>193.48</v>
      </c>
    </row>
    <row r="987">
      <c r="A987" t="n">
        <v>-73871</v>
      </c>
      <c r="B987">
        <f>+B986+A987</f>
        <v/>
      </c>
    </row>
    <row r="988">
      <c r="A988" t="n">
        <v>14786.3</v>
      </c>
      <c r="B988">
        <f>+B987+A988</f>
        <v/>
      </c>
    </row>
    <row r="989">
      <c r="A989" t="n">
        <v>36965.73</v>
      </c>
      <c r="B989">
        <f>+B988+A989</f>
        <v/>
      </c>
    </row>
    <row r="990">
      <c r="A990" t="n">
        <v>5914.44</v>
      </c>
      <c r="B990">
        <f>+B989+A990</f>
        <v/>
      </c>
    </row>
    <row r="991">
      <c r="A991" t="n">
        <v>16264.93</v>
      </c>
      <c r="B991">
        <f>+B990+A991</f>
        <v/>
      </c>
      <c r="C991" t="n">
        <v>60.4</v>
      </c>
    </row>
    <row r="992">
      <c r="A992" t="n">
        <v>-73927.5</v>
      </c>
      <c r="B992">
        <f>+B991+A992</f>
        <v/>
      </c>
    </row>
    <row r="993">
      <c r="A993" t="n">
        <v>73945.46000000001</v>
      </c>
      <c r="B993">
        <f>+B992+A993</f>
        <v/>
      </c>
      <c r="C993" t="n">
        <v>17.96</v>
      </c>
    </row>
    <row r="994">
      <c r="B994" t="inlineStr">
        <is>
          <t xml:space="preserve">合計 </t>
        </is>
      </c>
      <c r="C994">
        <f>SUM(C978:C993)</f>
        <v/>
      </c>
    </row>
    <row r="995">
      <c r="B995" t="inlineStr">
        <is>
          <t>核驗</t>
        </is>
      </c>
      <c r="C995">
        <f>+B993-B977</f>
        <v/>
      </c>
    </row>
    <row r="997">
      <c r="A997" t="inlineStr">
        <is>
          <t>2026.05.20當沖</t>
        </is>
      </c>
      <c r="B997" t="inlineStr">
        <is>
          <t>買</t>
        </is>
      </c>
      <c r="C997">
        <f>SUMIF(A978:A993,"&lt;0")</f>
        <v/>
      </c>
    </row>
    <row r="998">
      <c r="A998">
        <f>"SPY " &amp; COUNT(C978:C993) * 100 &amp; "股"</f>
        <v/>
      </c>
      <c r="B998" t="inlineStr">
        <is>
          <t>賣</t>
        </is>
      </c>
      <c r="C998">
        <f>SUMIF(A978:A993,"&gt;0")</f>
        <v/>
      </c>
    </row>
    <row r="999">
      <c r="B999" t="inlineStr">
        <is>
          <t>當日損益</t>
        </is>
      </c>
      <c r="C999">
        <f>+C997+C998</f>
        <v/>
      </c>
    </row>
    <row r="1000">
      <c r="B1000" t="inlineStr">
        <is>
          <t>當日損益 %</t>
        </is>
      </c>
      <c r="C1000" s="45">
        <f>C999/ABS(C997)</f>
        <v/>
      </c>
    </row>
    <row r="1003">
      <c r="A1003" t="inlineStr">
        <is>
          <t>累積留倉   200股</t>
        </is>
      </c>
    </row>
    <row r="1004">
      <c r="A1004" t="inlineStr">
        <is>
          <t>2026.05.15 留倉</t>
        </is>
      </c>
      <c r="B1004" t="inlineStr">
        <is>
          <t>買 100股</t>
        </is>
      </c>
      <c r="C1004">
        <f>C949</f>
        <v/>
      </c>
    </row>
    <row r="1005">
      <c r="A1005" t="inlineStr">
        <is>
          <t>2026.05.15 留倉</t>
        </is>
      </c>
      <c r="B1005" t="inlineStr">
        <is>
          <t>買 100股</t>
        </is>
      </c>
      <c r="C1005">
        <f>C950</f>
        <v/>
      </c>
    </row>
    <row r="1008">
      <c r="A1008" t="inlineStr">
        <is>
          <t>2026.05.21</t>
        </is>
      </c>
      <c r="B1008" t="n">
        <v>-42147.25</v>
      </c>
      <c r="C1008" t="inlineStr">
        <is>
          <t>損益</t>
        </is>
      </c>
    </row>
    <row r="1009">
      <c r="A1009" t="n">
        <v>-73805.60000000001</v>
      </c>
      <c r="B1009">
        <f>+B1008+A1009</f>
        <v/>
      </c>
    </row>
    <row r="1010">
      <c r="A1010" t="n">
        <v>73876.46000000001</v>
      </c>
      <c r="B1010">
        <f>+B1009+A1010</f>
        <v/>
      </c>
      <c r="C1010" t="n">
        <v>70.86</v>
      </c>
    </row>
    <row r="1011">
      <c r="A1011" t="n">
        <v>-73910.03999999999</v>
      </c>
      <c r="B1011">
        <f>+B1010+A1011</f>
        <v/>
      </c>
    </row>
    <row r="1012">
      <c r="A1012" t="n">
        <v>73891.96000000001</v>
      </c>
      <c r="B1012">
        <f>+B1011+A1012</f>
        <v/>
      </c>
      <c r="C1012" t="n">
        <v>-18.08</v>
      </c>
    </row>
    <row r="1013">
      <c r="A1013" t="n">
        <v>-73968</v>
      </c>
      <c r="B1013">
        <f>+B1012+A1013</f>
        <v/>
      </c>
    </row>
    <row r="1014">
      <c r="A1014" t="n">
        <v>-73858.89999999999</v>
      </c>
      <c r="B1014">
        <f>+B1013+A1014</f>
        <v/>
      </c>
    </row>
    <row r="1015">
      <c r="A1015" t="n">
        <v>73888.96000000001</v>
      </c>
      <c r="B1015">
        <f>+B1014+A1015</f>
        <v/>
      </c>
      <c r="C1015" t="n">
        <v>30.06</v>
      </c>
    </row>
    <row r="1016">
      <c r="A1016" t="n">
        <v>73888.96000000001</v>
      </c>
      <c r="B1016">
        <f>+B1015+A1016</f>
        <v/>
      </c>
      <c r="C1016" t="n">
        <v>-79.04000000000001</v>
      </c>
    </row>
    <row r="1017">
      <c r="B1017" t="inlineStr">
        <is>
          <t xml:space="preserve">合計 </t>
        </is>
      </c>
      <c r="C1017">
        <f>SUM(C1009:C1016)</f>
        <v/>
      </c>
    </row>
    <row r="1018">
      <c r="B1018" t="inlineStr">
        <is>
          <t>核驗</t>
        </is>
      </c>
      <c r="C1018">
        <f>+B1016-B1008</f>
        <v/>
      </c>
    </row>
    <row r="1020">
      <c r="A1020" t="inlineStr">
        <is>
          <t>2026.05.21當沖</t>
        </is>
      </c>
      <c r="B1020" t="inlineStr">
        <is>
          <t>買</t>
        </is>
      </c>
      <c r="C1020">
        <f>SUMIF(A1009:A1016,"&lt;0")</f>
        <v/>
      </c>
    </row>
    <row r="1021">
      <c r="A1021">
        <f>"SPY " &amp; COUNT(C1009:C1016) * 100 &amp; "股"</f>
        <v/>
      </c>
      <c r="B1021" t="inlineStr">
        <is>
          <t>賣</t>
        </is>
      </c>
      <c r="C1021">
        <f>SUMIF(A1009:A1016,"&gt;0")</f>
        <v/>
      </c>
    </row>
    <row r="1022">
      <c r="B1022" t="inlineStr">
        <is>
          <t>當日損益</t>
        </is>
      </c>
      <c r="C1022">
        <f>+C1020+C1021</f>
        <v/>
      </c>
    </row>
    <row r="1023">
      <c r="B1023" t="inlineStr">
        <is>
          <t>當日損益 %</t>
        </is>
      </c>
      <c r="C1023" s="45">
        <f>C1022/ABS(C1020)</f>
        <v/>
      </c>
    </row>
    <row r="1026">
      <c r="A1026" t="inlineStr">
        <is>
          <t>累積留倉   200股</t>
        </is>
      </c>
    </row>
    <row r="1027">
      <c r="A1027" t="inlineStr">
        <is>
          <t>2026.05.15 留倉</t>
        </is>
      </c>
      <c r="B1027" t="inlineStr">
        <is>
          <t>買 100股</t>
        </is>
      </c>
      <c r="C1027">
        <f>C1004</f>
        <v/>
      </c>
    </row>
    <row r="1028">
      <c r="A1028" t="inlineStr">
        <is>
          <t>2026.05.15 留倉</t>
        </is>
      </c>
      <c r="B1028" t="inlineStr">
        <is>
          <t>買 100股</t>
        </is>
      </c>
      <c r="C1028">
        <f>C1005</f>
        <v/>
      </c>
    </row>
    <row r="1031">
      <c r="A1031" t="inlineStr">
        <is>
          <t>2026.05.22</t>
        </is>
      </c>
      <c r="B1031" t="n">
        <v>-42143.45</v>
      </c>
      <c r="C1031" t="inlineStr">
        <is>
          <t>損益</t>
        </is>
      </c>
    </row>
    <row r="1032">
      <c r="A1032" t="n">
        <v>74585.44</v>
      </c>
      <c r="B1032">
        <f>+B1031+A1032</f>
        <v/>
      </c>
      <c r="C1032" t="n">
        <v>629.9400000000001</v>
      </c>
    </row>
    <row r="1033">
      <c r="A1033" t="n">
        <v>74692.3</v>
      </c>
      <c r="B1033">
        <f>+B1032+A1033</f>
        <v/>
      </c>
      <c r="C1033" t="n">
        <v>621.8</v>
      </c>
    </row>
    <row r="1034">
      <c r="B1034" t="inlineStr">
        <is>
          <t xml:space="preserve">合計 </t>
        </is>
      </c>
      <c r="C1034">
        <f>SUM(C1032:C1033)</f>
        <v/>
      </c>
    </row>
    <row r="1035">
      <c r="B1035" t="inlineStr">
        <is>
          <t>核驗</t>
        </is>
      </c>
      <c r="C1035">
        <f>+B1033-B1031</f>
        <v/>
      </c>
    </row>
    <row r="1037">
      <c r="A1037" t="inlineStr">
        <is>
          <t>2026.05.22無當沖</t>
        </is>
      </c>
    </row>
    <row r="1039">
      <c r="A1039" t="inlineStr">
        <is>
          <t>2026.05.15買入</t>
        </is>
      </c>
      <c r="B1039" t="inlineStr">
        <is>
          <t>100股</t>
        </is>
      </c>
      <c r="C1039">
        <f>C1028</f>
        <v/>
      </c>
    </row>
    <row r="1040">
      <c r="A1040" t="inlineStr">
        <is>
          <t>2026.05.22平倉</t>
        </is>
      </c>
      <c r="B1040" t="inlineStr">
        <is>
          <t>100股</t>
        </is>
      </c>
      <c r="C1040">
        <f>A1032</f>
        <v/>
      </c>
    </row>
    <row r="1041">
      <c r="B1041" t="inlineStr">
        <is>
          <t>當日損益</t>
        </is>
      </c>
      <c r="C1041">
        <f>+C1039+C1040</f>
        <v/>
      </c>
    </row>
    <row r="1042">
      <c r="B1042" t="inlineStr">
        <is>
          <t>當日損益 %</t>
        </is>
      </c>
      <c r="C1042" s="45">
        <f>C1041/ABS(C1039)</f>
        <v/>
      </c>
    </row>
    <row r="1044">
      <c r="A1044" t="inlineStr">
        <is>
          <t>2026.05.15買入</t>
        </is>
      </c>
      <c r="B1044" t="inlineStr">
        <is>
          <t>100股</t>
        </is>
      </c>
      <c r="C1044">
        <f>C1027</f>
        <v/>
      </c>
    </row>
    <row r="1045">
      <c r="A1045" t="inlineStr">
        <is>
          <t>2026.05.22平倉</t>
        </is>
      </c>
      <c r="B1045" t="inlineStr">
        <is>
          <t>100股</t>
        </is>
      </c>
      <c r="C1045">
        <f>A1033</f>
        <v/>
      </c>
    </row>
    <row r="1046">
      <c r="B1046" t="inlineStr">
        <is>
          <t>當日損益</t>
        </is>
      </c>
      <c r="C1046">
        <f>+C1044+C1045</f>
        <v/>
      </c>
    </row>
    <row r="1047">
      <c r="B1047" t="inlineStr">
        <is>
          <t>當日損益 %</t>
        </is>
      </c>
      <c r="C1047" s="45">
        <f>C1046/ABS(C1044)</f>
        <v/>
      </c>
    </row>
    <row r="1049">
      <c r="A1049" t="inlineStr">
        <is>
          <t>2026.05.26</t>
        </is>
      </c>
      <c r="B1049" t="n">
        <v>107134.29</v>
      </c>
      <c r="C1049" t="inlineStr">
        <is>
          <t>損益</t>
        </is>
      </c>
    </row>
    <row r="1050">
      <c r="A1050" t="n">
        <v>75140.44</v>
      </c>
      <c r="B1050">
        <f>+B1049+A1050</f>
        <v/>
      </c>
    </row>
    <row r="1051">
      <c r="A1051" t="n">
        <v>-75082</v>
      </c>
      <c r="B1051">
        <f>+B1050+A1051</f>
        <v/>
      </c>
      <c r="C1051" t="n">
        <v>58.44</v>
      </c>
    </row>
    <row r="1052">
      <c r="A1052" t="n">
        <v>75089.42999999999</v>
      </c>
      <c r="B1052">
        <f>+B1051+A1052</f>
        <v/>
      </c>
    </row>
    <row r="1053">
      <c r="A1053" t="n">
        <v>-75042.53999999999</v>
      </c>
      <c r="B1053">
        <f>+B1052+A1053</f>
        <v/>
      </c>
      <c r="C1053" t="n">
        <v>46.89</v>
      </c>
    </row>
    <row r="1054">
      <c r="A1054" t="n">
        <v>-75082</v>
      </c>
      <c r="B1054">
        <f>+B1053+A1054</f>
        <v/>
      </c>
    </row>
    <row r="1055">
      <c r="A1055" t="n">
        <v>75055.92999999999</v>
      </c>
      <c r="B1055">
        <f>+B1054+A1055</f>
        <v/>
      </c>
      <c r="C1055" t="n">
        <v>-26.07</v>
      </c>
    </row>
    <row r="1056">
      <c r="A1056" t="n">
        <v>-74986</v>
      </c>
      <c r="B1056">
        <f>+B1055+A1056</f>
        <v/>
      </c>
    </row>
    <row r="1057">
      <c r="A1057" t="n">
        <v>74938.45</v>
      </c>
      <c r="B1057">
        <f>+B1056+A1057</f>
        <v/>
      </c>
      <c r="C1057" t="n">
        <v>-47.55</v>
      </c>
    </row>
    <row r="1058">
      <c r="B1058" t="inlineStr">
        <is>
          <t xml:space="preserve">合計 </t>
        </is>
      </c>
      <c r="C1058">
        <f>SUM(C1050:C1057)</f>
        <v/>
      </c>
    </row>
    <row r="1059">
      <c r="B1059" t="inlineStr">
        <is>
          <t>核驗</t>
        </is>
      </c>
      <c r="C1059">
        <f>+B1057-B1049</f>
        <v/>
      </c>
    </row>
    <row r="1061">
      <c r="A1061" t="inlineStr">
        <is>
          <t>2026.05.26當沖</t>
        </is>
      </c>
      <c r="B1061" t="inlineStr">
        <is>
          <t>買</t>
        </is>
      </c>
      <c r="C1061" s="80">
        <f>SUMIF(A1050:A1057,"&lt;0")</f>
        <v/>
      </c>
    </row>
    <row r="1062">
      <c r="A1062">
        <f>"SPY " &amp; COUNT(C1050:C1057) * 100 &amp; "股"</f>
        <v/>
      </c>
      <c r="B1062" t="inlineStr">
        <is>
          <t>賣</t>
        </is>
      </c>
      <c r="C1062" s="80">
        <f>SUMIF(A1050:A1057,"&gt;0")</f>
        <v/>
      </c>
    </row>
    <row r="1063">
      <c r="B1063" t="inlineStr">
        <is>
          <t>當日損益</t>
        </is>
      </c>
      <c r="C1063" s="80">
        <f>+C1061+C1062</f>
        <v/>
      </c>
    </row>
    <row r="1064">
      <c r="B1064" t="inlineStr">
        <is>
          <t>當日損益 %</t>
        </is>
      </c>
      <c r="C1064" s="45">
        <f>C1063/ABS(C1061)</f>
        <v/>
      </c>
    </row>
    <row r="1067">
      <c r="A1067" t="inlineStr">
        <is>
          <t>2026.05.27</t>
        </is>
      </c>
      <c r="B1067" t="n">
        <v>-42252.81</v>
      </c>
      <c r="C1067" t="inlineStr">
        <is>
          <t>損益</t>
        </is>
      </c>
    </row>
    <row r="1068">
      <c r="A1068" t="n">
        <v>-75037.94</v>
      </c>
      <c r="B1068">
        <f>+B1067+A1068</f>
        <v/>
      </c>
    </row>
    <row r="1069">
      <c r="A1069" t="n">
        <v>-75073.5</v>
      </c>
      <c r="B1069">
        <f>+B1068+A1069</f>
        <v/>
      </c>
    </row>
    <row r="1070">
      <c r="A1070" t="n">
        <v>75087.92999999999</v>
      </c>
      <c r="B1070">
        <f>+B1069+A1070</f>
        <v/>
      </c>
      <c r="C1070" t="n">
        <v>14.43</v>
      </c>
    </row>
    <row r="1071">
      <c r="A1071" t="n">
        <v>-74979.5</v>
      </c>
      <c r="B1071">
        <f>+B1070+A1071</f>
        <v/>
      </c>
    </row>
    <row r="1072">
      <c r="A1072" t="n">
        <v>-74920.5</v>
      </c>
      <c r="B1072">
        <f>+B1071+A1072</f>
        <v/>
      </c>
    </row>
    <row r="1073">
      <c r="A1073" t="n">
        <v>74972.45</v>
      </c>
      <c r="B1073">
        <f>+B1072+A1073</f>
        <v/>
      </c>
      <c r="C1073" t="n">
        <v>51.95</v>
      </c>
    </row>
    <row r="1074">
      <c r="A1074" t="n">
        <v>-74874.5</v>
      </c>
      <c r="B1074">
        <f>+B1073+A1074</f>
        <v/>
      </c>
    </row>
    <row r="1075">
      <c r="A1075" t="n">
        <v>74885.44</v>
      </c>
      <c r="B1075">
        <f>+B1074+A1075</f>
        <v/>
      </c>
      <c r="C1075" t="n">
        <v>10.94</v>
      </c>
    </row>
    <row r="1076">
      <c r="A1076" t="n">
        <v>74941.45</v>
      </c>
      <c r="B1076">
        <f>+B1075+A1076</f>
        <v/>
      </c>
      <c r="C1076" t="n">
        <v>-38.05</v>
      </c>
    </row>
    <row r="1077">
      <c r="B1077" t="inlineStr">
        <is>
          <t xml:space="preserve">合計 </t>
        </is>
      </c>
      <c r="C1077">
        <f>SUM(C1068:C1076)</f>
        <v/>
      </c>
    </row>
    <row r="1078">
      <c r="B1078" t="inlineStr">
        <is>
          <t>核驗</t>
        </is>
      </c>
      <c r="C1078">
        <f>+B1076-B1067</f>
        <v/>
      </c>
    </row>
    <row r="1080">
      <c r="A1080" t="inlineStr">
        <is>
          <t>2026.05.27當沖</t>
        </is>
      </c>
      <c r="B1080" t="inlineStr">
        <is>
          <t>買</t>
        </is>
      </c>
      <c r="C1080">
        <f>SUMIF(A1068:A1076,"&lt;0")-A1068</f>
        <v/>
      </c>
    </row>
    <row r="1081">
      <c r="A1081">
        <f>"SPY " &amp; COUNT(C1068:C1076) * 100 &amp; "股"</f>
        <v/>
      </c>
      <c r="B1081" t="inlineStr">
        <is>
          <t>賣</t>
        </is>
      </c>
      <c r="C1081">
        <f>SUMIF(A1068:A1076,"&gt;0")</f>
        <v/>
      </c>
    </row>
    <row r="1082">
      <c r="B1082" t="inlineStr">
        <is>
          <t>當沖損益</t>
        </is>
      </c>
      <c r="C1082">
        <f>+C1080+C1081</f>
        <v/>
      </c>
    </row>
    <row r="1083">
      <c r="B1083" t="inlineStr">
        <is>
          <t>當沖損益 %</t>
        </is>
      </c>
      <c r="C1083">
        <f>C1082/ABS(C1080)</f>
        <v/>
      </c>
    </row>
    <row r="1085">
      <c r="A1085" t="inlineStr">
        <is>
          <t>累積留倉   100股</t>
        </is>
      </c>
    </row>
    <row r="1086">
      <c r="A1086" t="inlineStr">
        <is>
          <t>2026.05.27 留倉</t>
        </is>
      </c>
      <c r="B1086" t="inlineStr">
        <is>
          <t>買 100股</t>
        </is>
      </c>
      <c r="C1086" t="n">
        <v>-75037.94</v>
      </c>
    </row>
    <row r="1089">
      <c r="A1089" t="inlineStr">
        <is>
          <t>2026.05.28</t>
        </is>
      </c>
      <c r="B1089" t="n">
        <v>-42213.54</v>
      </c>
      <c r="C1089" t="inlineStr">
        <is>
          <t>損益</t>
        </is>
      </c>
    </row>
    <row r="1090">
      <c r="A1090" t="n">
        <v>75287.10000000001</v>
      </c>
      <c r="B1090">
        <f>+B1089+A1090</f>
        <v/>
      </c>
    </row>
    <row r="1091">
      <c r="A1091" t="n">
        <v>-75180.89999999999</v>
      </c>
      <c r="B1091">
        <f>+B1090+A1091</f>
        <v/>
      </c>
    </row>
    <row r="1092">
      <c r="A1092" t="n">
        <v>75236.75999999999</v>
      </c>
      <c r="B1092">
        <f>+B1091+A1092</f>
        <v/>
      </c>
      <c r="C1092" t="n">
        <v>55.86</v>
      </c>
    </row>
    <row r="1093">
      <c r="A1093" t="n">
        <v>-75225.5</v>
      </c>
      <c r="B1093">
        <f>+B1092+A1093</f>
        <v/>
      </c>
    </row>
    <row r="1094">
      <c r="A1094" t="n">
        <v>75249.44</v>
      </c>
      <c r="B1094">
        <f>+B1093+A1094</f>
        <v/>
      </c>
      <c r="C1094" t="n">
        <v>23.94</v>
      </c>
    </row>
    <row r="1095">
      <c r="A1095" t="n">
        <v>-75407.92999999999</v>
      </c>
      <c r="B1095">
        <f>+B1094+A1095</f>
        <v/>
      </c>
    </row>
    <row r="1096">
      <c r="A1096" t="n">
        <v>75404.92999999999</v>
      </c>
      <c r="B1096">
        <f>+B1095+A1096</f>
        <v/>
      </c>
      <c r="C1096" t="n">
        <v>-3</v>
      </c>
    </row>
    <row r="1097">
      <c r="A1097" t="n">
        <v>-75439.99000000001</v>
      </c>
      <c r="B1097">
        <f>+B1096+A1097</f>
        <v/>
      </c>
    </row>
    <row r="1098">
      <c r="A1098" t="n">
        <v>-75432.99000000001</v>
      </c>
      <c r="B1098">
        <f>+B1097+A1098</f>
        <v/>
      </c>
    </row>
    <row r="1099">
      <c r="A1099" t="n">
        <v>75449.98</v>
      </c>
      <c r="B1099">
        <f>+B1098+A1099</f>
        <v/>
      </c>
      <c r="C1099" t="n">
        <v>16.99</v>
      </c>
    </row>
    <row r="1100">
      <c r="A1100" t="n">
        <v>75447.42999999999</v>
      </c>
      <c r="B1100">
        <f>+B1099+A1100</f>
        <v/>
      </c>
      <c r="C1100" t="n">
        <v>7.44</v>
      </c>
    </row>
    <row r="1101">
      <c r="B1101" t="inlineStr">
        <is>
          <t xml:space="preserve">合計 </t>
        </is>
      </c>
      <c r="C1101">
        <f>SUM(C1090:C1100)</f>
        <v/>
      </c>
    </row>
    <row r="1102">
      <c r="B1102" t="inlineStr">
        <is>
          <t>核驗</t>
        </is>
      </c>
      <c r="C1102">
        <f>+B1100-B1089</f>
        <v/>
      </c>
    </row>
    <row r="1104">
      <c r="A1104" t="inlineStr">
        <is>
          <t>2026.05.28當沖</t>
        </is>
      </c>
      <c r="B1104" t="inlineStr">
        <is>
          <t>買</t>
        </is>
      </c>
      <c r="C1104">
        <f>SUMIF(A1090:A1100,"&lt;0")</f>
        <v/>
      </c>
    </row>
    <row r="1105">
      <c r="A1105">
        <f>"SPY " &amp; COUNT(C1090:C1100) * 100 &amp; "股"</f>
        <v/>
      </c>
      <c r="B1105" t="inlineStr">
        <is>
          <t>賣</t>
        </is>
      </c>
      <c r="C1105">
        <f>SUMIF(A1090:A1100,"&gt;0")-A1090</f>
        <v/>
      </c>
    </row>
    <row r="1106">
      <c r="B1106" t="inlineStr">
        <is>
          <t>當沖損益</t>
        </is>
      </c>
      <c r="C1106">
        <f>+C1104+C1105</f>
        <v/>
      </c>
    </row>
    <row r="1107">
      <c r="B1107" t="inlineStr">
        <is>
          <t>當沖損益 %</t>
        </is>
      </c>
      <c r="C1107">
        <f>C1106/ABS(C1104)</f>
        <v/>
      </c>
    </row>
    <row r="1109">
      <c r="A1109" t="inlineStr">
        <is>
          <t>2026.05.27買入</t>
        </is>
      </c>
      <c r="B1109" t="inlineStr">
        <is>
          <t>100股</t>
        </is>
      </c>
      <c r="C1109">
        <f>C1086</f>
        <v/>
      </c>
    </row>
    <row r="1110">
      <c r="A1110" t="inlineStr">
        <is>
          <t>2026.05.28平倉</t>
        </is>
      </c>
      <c r="B1110" t="inlineStr">
        <is>
          <t>100股</t>
        </is>
      </c>
      <c r="C1110" t="n">
        <v>75287.10000000001</v>
      </c>
    </row>
    <row r="1111">
      <c r="B1111" t="inlineStr">
        <is>
          <t>平倉損益</t>
        </is>
      </c>
      <c r="C1111">
        <f>+C1109+C1110</f>
        <v/>
      </c>
    </row>
    <row r="1112">
      <c r="B1112" t="inlineStr">
        <is>
          <t>平倉損益 %</t>
        </is>
      </c>
      <c r="C1112">
        <f>C1111/ABS(C1109)</f>
        <v/>
      </c>
    </row>
    <row r="1115">
      <c r="A1115" t="inlineStr">
        <is>
          <t>2026.05.29</t>
        </is>
      </c>
      <c r="B1115" t="n">
        <v>-42112.31</v>
      </c>
      <c r="C1115" t="inlineStr">
        <is>
          <t>損益</t>
        </is>
      </c>
    </row>
    <row r="1116">
      <c r="A1116" t="n">
        <v>-75628.60000000001</v>
      </c>
      <c r="B1116">
        <f>+B1115+A1116</f>
        <v/>
      </c>
    </row>
    <row r="1117">
      <c r="A1117" t="n">
        <v>-75498.99000000001</v>
      </c>
      <c r="B1117">
        <f>+B1116+A1117</f>
        <v/>
      </c>
    </row>
    <row r="1118">
      <c r="A1118" t="n">
        <v>75521.92</v>
      </c>
      <c r="B1118">
        <f>+B1117+A1118</f>
        <v/>
      </c>
      <c r="C1118" t="n">
        <v>22.93</v>
      </c>
    </row>
    <row r="1119">
      <c r="A1119" t="n">
        <v>75716.12</v>
      </c>
      <c r="B1119">
        <f>+B1118+A1119</f>
        <v/>
      </c>
      <c r="C1119" t="n">
        <v>87.52</v>
      </c>
    </row>
    <row r="1120">
      <c r="A1120" t="n">
        <v>-75693.5</v>
      </c>
      <c r="B1120">
        <f>+B1119+A1120</f>
        <v/>
      </c>
    </row>
    <row r="1121">
      <c r="A1121" t="n">
        <v>75675.42</v>
      </c>
      <c r="B1121">
        <f>+B1120+A1121</f>
        <v/>
      </c>
      <c r="C1121" t="n">
        <v>-18.08</v>
      </c>
    </row>
    <row r="1122">
      <c r="B1122" t="inlineStr">
        <is>
          <t xml:space="preserve">合計 </t>
        </is>
      </c>
      <c r="C1122">
        <f>SUM(C1116:C1121)</f>
        <v/>
      </c>
    </row>
    <row r="1123">
      <c r="B1123" t="inlineStr">
        <is>
          <t>核驗</t>
        </is>
      </c>
      <c r="C1123">
        <f>+B1121-B1115</f>
        <v/>
      </c>
    </row>
    <row r="1125">
      <c r="A1125" t="inlineStr">
        <is>
          <t>2026.05.29當沖</t>
        </is>
      </c>
      <c r="B1125" t="inlineStr">
        <is>
          <t>買</t>
        </is>
      </c>
      <c r="C1125">
        <f>SUMIF(A1116:A1121,"&lt;0")</f>
        <v/>
      </c>
    </row>
    <row r="1126">
      <c r="A1126">
        <f>"SPY " &amp; COUNT(C1116:C1121) * 100 &amp; "股"</f>
        <v/>
      </c>
      <c r="B1126" t="inlineStr">
        <is>
          <t>賣</t>
        </is>
      </c>
      <c r="C1126">
        <f>SUMIF(A1116:A1121,"&gt;0")</f>
        <v/>
      </c>
    </row>
    <row r="1127">
      <c r="B1127" t="inlineStr">
        <is>
          <t>當沖損益</t>
        </is>
      </c>
      <c r="C1127">
        <f>+C1125+C1126</f>
        <v/>
      </c>
    </row>
    <row r="1128">
      <c r="B1128" t="inlineStr">
        <is>
          <t>當沖損益 %</t>
        </is>
      </c>
      <c r="C1128">
        <f>C1127/ABS(C1125)</f>
        <v/>
      </c>
    </row>
    <row r="1131">
      <c r="A1131" t="inlineStr">
        <is>
          <t>2026.06.03</t>
        </is>
      </c>
      <c r="B1131" t="n">
        <v>-42019.94</v>
      </c>
      <c r="C1131" t="inlineStr">
        <is>
          <t>損益</t>
        </is>
      </c>
    </row>
    <row r="1132">
      <c r="A1132" t="n">
        <v>-75518.5</v>
      </c>
      <c r="B1132">
        <f>+B1131+A1132</f>
        <v/>
      </c>
    </row>
    <row r="1133">
      <c r="A1133" t="n">
        <v>75618.89</v>
      </c>
      <c r="B1133">
        <f>+B1132+A1133</f>
        <v/>
      </c>
      <c r="C1133" t="n">
        <v>100.39</v>
      </c>
    </row>
    <row r="1134">
      <c r="A1134" t="n">
        <v>-75602.03</v>
      </c>
      <c r="B1134">
        <f>+B1133+A1134</f>
        <v/>
      </c>
    </row>
    <row r="1135">
      <c r="A1135" t="n">
        <v>75635.42</v>
      </c>
      <c r="B1135">
        <f>+B1134+A1135</f>
        <v/>
      </c>
      <c r="C1135" t="n">
        <v>33.39</v>
      </c>
    </row>
    <row r="1136">
      <c r="A1136" t="n">
        <v>-75507.5</v>
      </c>
      <c r="B1136">
        <f>+B1135+A1136</f>
        <v/>
      </c>
    </row>
    <row r="1137">
      <c r="A1137" t="n">
        <v>75545.3</v>
      </c>
      <c r="B1137">
        <f>+B1136+A1137</f>
        <v/>
      </c>
      <c r="C1137" t="n">
        <v>37.8</v>
      </c>
    </row>
    <row r="1138">
      <c r="A1138" t="n">
        <v>-75547.5</v>
      </c>
      <c r="B1138">
        <f>+B1137+A1138</f>
        <v/>
      </c>
    </row>
    <row r="1139">
      <c r="A1139" t="n">
        <v>75534.92</v>
      </c>
      <c r="B1139">
        <f>+B1138+A1139</f>
        <v/>
      </c>
      <c r="C1139" t="n">
        <v>-12.58</v>
      </c>
    </row>
    <row r="1140">
      <c r="A1140" t="n">
        <v>-75515</v>
      </c>
      <c r="B1140">
        <f>+B1139+A1140</f>
        <v/>
      </c>
    </row>
    <row r="1141">
      <c r="A1141" t="n">
        <v>75521.42</v>
      </c>
      <c r="B1141">
        <f>+B1140+A1141</f>
        <v/>
      </c>
      <c r="C1141" t="n">
        <v>6.42</v>
      </c>
    </row>
    <row r="1142">
      <c r="A1142" t="n">
        <v>-75470.48</v>
      </c>
      <c r="B1142">
        <f>+B1141+A1142</f>
        <v/>
      </c>
    </row>
    <row r="1143">
      <c r="A1143" t="n">
        <v>75465.92999999999</v>
      </c>
      <c r="B1143">
        <f>+B1142+A1143</f>
        <v/>
      </c>
      <c r="C1143" t="n">
        <v>-4.55</v>
      </c>
    </row>
    <row r="1144">
      <c r="B1144" t="inlineStr">
        <is>
          <t xml:space="preserve">合計 </t>
        </is>
      </c>
      <c r="C1144">
        <f>SUM(C1132:C1143)</f>
        <v/>
      </c>
    </row>
    <row r="1145">
      <c r="B1145" t="inlineStr">
        <is>
          <t>核驗</t>
        </is>
      </c>
      <c r="C1145">
        <f>+B1143-B1131</f>
        <v/>
      </c>
    </row>
    <row r="1147">
      <c r="A1147" t="inlineStr">
        <is>
          <t>2026.06.03當沖</t>
        </is>
      </c>
      <c r="B1147" t="inlineStr">
        <is>
          <t>買</t>
        </is>
      </c>
      <c r="C1147">
        <f>SUMIF(A1132:A1143,"&lt;0")</f>
        <v/>
      </c>
    </row>
    <row r="1148">
      <c r="A1148">
        <f>"SPY " &amp; COUNT(C1132:C1143) * 100 &amp; "股"</f>
        <v/>
      </c>
      <c r="B1148" t="inlineStr">
        <is>
          <t>賣</t>
        </is>
      </c>
      <c r="C1148">
        <f>SUMIF(A1132:A1143,"&gt;0")</f>
        <v/>
      </c>
    </row>
    <row r="1149">
      <c r="B1149" t="inlineStr">
        <is>
          <t>當沖損益</t>
        </is>
      </c>
      <c r="C1149">
        <f>+C1147+C1148</f>
        <v/>
      </c>
    </row>
    <row r="1150">
      <c r="B1150" t="inlineStr">
        <is>
          <t>當沖損益 %</t>
        </is>
      </c>
      <c r="C1150">
        <f>C1149/ABS(C1147)</f>
        <v/>
      </c>
    </row>
    <row r="1153">
      <c r="A1153" t="inlineStr">
        <is>
          <t>2026.06.04</t>
        </is>
      </c>
      <c r="B1153" t="n">
        <v>-41859.07</v>
      </c>
      <c r="C1153" t="inlineStr">
        <is>
          <t>損益</t>
        </is>
      </c>
    </row>
    <row r="1154">
      <c r="A1154" t="n">
        <v>-75317.5</v>
      </c>
      <c r="B1154">
        <f>+B1153+A1154</f>
        <v/>
      </c>
    </row>
    <row r="1155">
      <c r="A1155" t="n">
        <v>75384.42999999999</v>
      </c>
      <c r="B1155">
        <f>+B1154+A1155</f>
        <v/>
      </c>
      <c r="C1155" t="n">
        <v>66.93000000000001</v>
      </c>
    </row>
    <row r="1156">
      <c r="A1156" t="n">
        <v>-75405.44</v>
      </c>
      <c r="B1156">
        <f>+B1155+A1156</f>
        <v/>
      </c>
    </row>
    <row r="1157">
      <c r="A1157" t="n">
        <v>75377.44</v>
      </c>
      <c r="B1157">
        <f>+B1156+A1157</f>
        <v/>
      </c>
      <c r="C1157" t="n">
        <v>-28</v>
      </c>
    </row>
    <row r="1158">
      <c r="A1158" t="n">
        <v>-75472.88</v>
      </c>
      <c r="B1158">
        <f>+B1157+A1158</f>
        <v/>
      </c>
    </row>
    <row r="1159">
      <c r="A1159" t="n">
        <v>75479.42999999999</v>
      </c>
      <c r="B1159">
        <f>+B1158+A1159</f>
        <v/>
      </c>
      <c r="C1159" t="n">
        <v>6.55</v>
      </c>
    </row>
    <row r="1160">
      <c r="A1160" t="n">
        <v>-75517</v>
      </c>
      <c r="B1160">
        <f>+B1159+A1160</f>
        <v/>
      </c>
    </row>
    <row r="1161">
      <c r="A1161" t="n">
        <v>75539.42999999999</v>
      </c>
      <c r="B1161">
        <f>+B1160+A1161</f>
        <v/>
      </c>
      <c r="C1161" t="n">
        <v>22.43</v>
      </c>
    </row>
    <row r="1162">
      <c r="A1162" t="n">
        <v>-75545.89999999999</v>
      </c>
      <c r="B1162">
        <f>+B1161+A1162</f>
        <v/>
      </c>
    </row>
    <row r="1163">
      <c r="A1163" t="n">
        <v>75559.42</v>
      </c>
      <c r="B1163">
        <f>+B1162+A1163</f>
        <v/>
      </c>
      <c r="C1163" t="n">
        <v>13.52</v>
      </c>
    </row>
    <row r="1164">
      <c r="A1164" t="n">
        <v>-75554</v>
      </c>
      <c r="B1164">
        <f>+B1163+A1164</f>
        <v/>
      </c>
    </row>
    <row r="1165">
      <c r="A1165" t="n">
        <v>75658.42</v>
      </c>
      <c r="B1165">
        <f>+B1164+A1165</f>
        <v/>
      </c>
      <c r="C1165" t="n">
        <v>104.42</v>
      </c>
    </row>
    <row r="1166">
      <c r="B1166" t="inlineStr">
        <is>
          <t xml:space="preserve">合計 </t>
        </is>
      </c>
      <c r="C1166">
        <f>SUM(C1154:C1165)</f>
        <v/>
      </c>
    </row>
    <row r="1167">
      <c r="B1167" t="inlineStr">
        <is>
          <t>核驗</t>
        </is>
      </c>
      <c r="C1167">
        <f>+B1165-B1153</f>
        <v/>
      </c>
    </row>
    <row r="1169">
      <c r="A1169" t="inlineStr">
        <is>
          <t>2026.06.04當沖</t>
        </is>
      </c>
      <c r="B1169" t="inlineStr">
        <is>
          <t>買</t>
        </is>
      </c>
      <c r="C1169">
        <f>SUMIF(A1154:A1165,"&lt;0")</f>
        <v/>
      </c>
    </row>
    <row r="1170">
      <c r="A1170">
        <f>"SPY " &amp; COUNT(C1154:C1165) * 100 &amp; "股"</f>
        <v/>
      </c>
      <c r="B1170" t="inlineStr">
        <is>
          <t>賣</t>
        </is>
      </c>
      <c r="C1170">
        <f>SUMIF(A1154:A1165,"&gt;0")</f>
        <v/>
      </c>
    </row>
    <row r="1171">
      <c r="B1171" t="inlineStr">
        <is>
          <t>當沖損益</t>
        </is>
      </c>
      <c r="C1171">
        <f>+C1169+C1170</f>
        <v/>
      </c>
    </row>
    <row r="1172">
      <c r="B1172" t="inlineStr">
        <is>
          <t>當沖損益 %</t>
        </is>
      </c>
      <c r="C1172">
        <f>C1171/ABS(C1169)</f>
        <v/>
      </c>
    </row>
    <row r="1175">
      <c r="A1175" t="inlineStr">
        <is>
          <t>2026.06.05</t>
        </is>
      </c>
      <c r="B1175" t="n">
        <v>-41673.22</v>
      </c>
      <c r="C1175" t="inlineStr">
        <is>
          <t>損益</t>
        </is>
      </c>
    </row>
    <row r="1176">
      <c r="A1176" t="n">
        <v>-75050</v>
      </c>
      <c r="B1176">
        <f>+B1175+A1176</f>
        <v/>
      </c>
    </row>
    <row r="1177">
      <c r="A1177" t="n">
        <v>-74985.5</v>
      </c>
      <c r="B1177">
        <f>+B1176+A1177</f>
        <v/>
      </c>
    </row>
    <row r="1178">
      <c r="A1178" t="n">
        <v>74942.38</v>
      </c>
      <c r="B1178">
        <f>+B1177+A1178</f>
        <v/>
      </c>
      <c r="C1178" t="n">
        <v>-43.12</v>
      </c>
    </row>
    <row r="1179">
      <c r="A1179" t="n">
        <v>-74916.94</v>
      </c>
      <c r="B1179">
        <f>+B1178+A1179</f>
        <v/>
      </c>
    </row>
    <row r="1180">
      <c r="A1180" t="n">
        <v>74921.44</v>
      </c>
      <c r="B1180">
        <f>+B1179+A1180</f>
        <v/>
      </c>
      <c r="C1180" t="n">
        <v>4.5</v>
      </c>
    </row>
    <row r="1181">
      <c r="A1181" t="n">
        <v>75017.92999999999</v>
      </c>
      <c r="B1181">
        <f>+B1180+A1181</f>
        <v/>
      </c>
      <c r="C1181" t="n">
        <v>-32.07</v>
      </c>
    </row>
    <row r="1182">
      <c r="A1182" t="n">
        <v>-74933</v>
      </c>
      <c r="B1182">
        <f>+B1181+A1182</f>
        <v/>
      </c>
    </row>
    <row r="1183">
      <c r="A1183" t="n">
        <v>74995.44</v>
      </c>
      <c r="B1183">
        <f>+B1182+A1183</f>
        <v/>
      </c>
      <c r="C1183" t="n">
        <v>62.44</v>
      </c>
    </row>
    <row r="1184">
      <c r="A1184" t="n">
        <v>-74977.46000000001</v>
      </c>
      <c r="B1184">
        <f>+B1183+A1184</f>
        <v/>
      </c>
    </row>
    <row r="1185">
      <c r="A1185" t="n">
        <v>75069.42999999999</v>
      </c>
      <c r="B1185">
        <f>+B1184+A1185</f>
        <v/>
      </c>
      <c r="C1185" t="n">
        <v>91.97</v>
      </c>
    </row>
    <row r="1186">
      <c r="A1186" t="n">
        <v>-74937</v>
      </c>
      <c r="B1186">
        <f>+B1185+A1186</f>
        <v/>
      </c>
    </row>
    <row r="1187">
      <c r="A1187" t="n">
        <v>-74845</v>
      </c>
      <c r="B1187">
        <f>+B1186+A1187</f>
        <v/>
      </c>
    </row>
    <row r="1188">
      <c r="A1188" t="n">
        <v>-74653</v>
      </c>
      <c r="B1188">
        <f>+B1187+A1188</f>
        <v/>
      </c>
    </row>
    <row r="1189">
      <c r="B1189" t="inlineStr">
        <is>
          <t xml:space="preserve">合計 </t>
        </is>
      </c>
      <c r="C1189">
        <f>SUM(C1176:C1188)</f>
        <v/>
      </c>
    </row>
    <row r="1190">
      <c r="B1190" t="inlineStr">
        <is>
          <t>核驗</t>
        </is>
      </c>
      <c r="C1190">
        <f>+B1188-B1175</f>
        <v/>
      </c>
    </row>
    <row r="1192">
      <c r="A1192" t="inlineStr">
        <is>
          <t>2026.06.05當沖</t>
        </is>
      </c>
      <c r="B1192" t="inlineStr">
        <is>
          <t>買</t>
        </is>
      </c>
      <c r="C1192">
        <f>SUMIF(A1176:A1188,"&lt;0")-A1186-A1187-A1188</f>
        <v/>
      </c>
    </row>
    <row r="1193">
      <c r="A1193">
        <f>"SPY " &amp; COUNT(C1176:C1188) * 100 &amp; "股"</f>
        <v/>
      </c>
      <c r="B1193" t="inlineStr">
        <is>
          <t>賣</t>
        </is>
      </c>
      <c r="C1193">
        <f>SUMIF(A1176:A1188,"&gt;0")</f>
        <v/>
      </c>
    </row>
    <row r="1194">
      <c r="B1194" t="inlineStr">
        <is>
          <t>當沖損益</t>
        </is>
      </c>
      <c r="C1194">
        <f>+C1192+C1193</f>
        <v/>
      </c>
    </row>
    <row r="1195">
      <c r="B1195" t="inlineStr">
        <is>
          <t>當沖損益 %</t>
        </is>
      </c>
      <c r="C1195">
        <f>C1194/ABS(C1192)</f>
        <v/>
      </c>
    </row>
    <row r="1197">
      <c r="A1197" t="inlineStr">
        <is>
          <t>累積留倉   300股</t>
        </is>
      </c>
    </row>
    <row r="1198">
      <c r="A1198" t="inlineStr">
        <is>
          <t>2026.06.05 留倉</t>
        </is>
      </c>
      <c r="B1198" t="inlineStr">
        <is>
          <t>買 100股</t>
        </is>
      </c>
      <c r="C1198" t="n">
        <v>-74937</v>
      </c>
    </row>
    <row r="1199">
      <c r="A1199" t="inlineStr">
        <is>
          <t>2026.06.05 留倉</t>
        </is>
      </c>
      <c r="B1199" t="inlineStr">
        <is>
          <t>買 100股</t>
        </is>
      </c>
      <c r="C1199" t="n">
        <v>-74845</v>
      </c>
    </row>
    <row r="1200">
      <c r="A1200" t="inlineStr">
        <is>
          <t>2026.06.05 留倉</t>
        </is>
      </c>
      <c r="B1200" t="inlineStr">
        <is>
          <t>買 100股</t>
        </is>
      </c>
      <c r="C1200" t="n">
        <v>-74653</v>
      </c>
    </row>
    <row r="1203">
      <c r="A1203" t="inlineStr">
        <is>
          <t>2026.06.08</t>
        </is>
      </c>
      <c r="B1203" t="n">
        <v>-41589.5</v>
      </c>
      <c r="C1203" t="inlineStr">
        <is>
          <t>損益</t>
        </is>
      </c>
    </row>
    <row r="1204">
      <c r="A1204" t="n">
        <v>-74222.5</v>
      </c>
      <c r="B1204">
        <f>+B1203+A1204</f>
        <v/>
      </c>
    </row>
    <row r="1205">
      <c r="A1205" t="n">
        <v>74319.95</v>
      </c>
      <c r="B1205">
        <f>+B1204+A1205</f>
        <v/>
      </c>
      <c r="C1205" t="n">
        <v>97.45</v>
      </c>
    </row>
    <row r="1206">
      <c r="A1206" t="n">
        <v>-74352.67999999999</v>
      </c>
      <c r="B1206">
        <f>+B1205+A1206</f>
        <v/>
      </c>
    </row>
    <row r="1207">
      <c r="A1207" t="n">
        <v>74391.95</v>
      </c>
      <c r="B1207">
        <f>+B1206+A1207</f>
        <v/>
      </c>
      <c r="C1207" t="n">
        <v>39.27</v>
      </c>
    </row>
    <row r="1208">
      <c r="A1208" t="n">
        <v>-74283.8</v>
      </c>
      <c r="B1208">
        <f>+B1207+A1208</f>
        <v/>
      </c>
    </row>
    <row r="1209">
      <c r="A1209" t="n">
        <v>74277.21000000001</v>
      </c>
      <c r="B1209">
        <f>+B1208+A1209</f>
        <v/>
      </c>
      <c r="C1209" t="n">
        <v>-6.59</v>
      </c>
    </row>
    <row r="1210">
      <c r="A1210" t="n">
        <v>74360.95</v>
      </c>
      <c r="B1210">
        <f>+B1209+A1210</f>
        <v/>
      </c>
    </row>
    <row r="1211">
      <c r="A1211" t="n">
        <v>-74113.5</v>
      </c>
      <c r="B1211">
        <f>+B1210+A1211</f>
        <v/>
      </c>
    </row>
    <row r="1212">
      <c r="A1212" t="n">
        <v>74142.91</v>
      </c>
      <c r="B1212">
        <f>+B1211+A1212</f>
        <v/>
      </c>
      <c r="C1212" t="n">
        <v>29.41</v>
      </c>
    </row>
    <row r="1213">
      <c r="B1213" t="inlineStr">
        <is>
          <t xml:space="preserve">合計 </t>
        </is>
      </c>
      <c r="C1213">
        <f>SUM(C1204:C1212)</f>
        <v/>
      </c>
    </row>
    <row r="1214">
      <c r="B1214" t="inlineStr">
        <is>
          <t>核驗</t>
        </is>
      </c>
      <c r="C1214">
        <f>+B1212-B1203</f>
        <v/>
      </c>
    </row>
    <row r="1216">
      <c r="A1216" t="inlineStr">
        <is>
          <t>2026.06.08當沖</t>
        </is>
      </c>
      <c r="B1216" t="inlineStr">
        <is>
          <t>買</t>
        </is>
      </c>
      <c r="C1216">
        <f>SUMIF(A1204:A1212,"&lt;0")</f>
        <v/>
      </c>
    </row>
    <row r="1217">
      <c r="A1217">
        <f>"SPY " &amp; COUNT(C1204:C1212) * 100 &amp; "股"</f>
        <v/>
      </c>
      <c r="B1217" t="inlineStr">
        <is>
          <t>賣</t>
        </is>
      </c>
      <c r="C1217">
        <f>SUMIF(A1204:A1212,"&gt;0")-A1210</f>
        <v/>
      </c>
    </row>
    <row r="1218">
      <c r="B1218" t="inlineStr">
        <is>
          <t>當沖損益</t>
        </is>
      </c>
      <c r="C1218">
        <f>+C1216+C1217</f>
        <v/>
      </c>
    </row>
    <row r="1219">
      <c r="B1219" t="inlineStr">
        <is>
          <t>當沖損益 %</t>
        </is>
      </c>
      <c r="C1219">
        <f>C1218/ABS(C1216)</f>
        <v/>
      </c>
    </row>
    <row r="1221">
      <c r="A1221" t="inlineStr">
        <is>
          <t>2026.06.05買入</t>
        </is>
      </c>
      <c r="B1221" t="inlineStr">
        <is>
          <t>100股</t>
        </is>
      </c>
      <c r="C1221">
        <f>C1200</f>
        <v/>
      </c>
    </row>
    <row r="1222">
      <c r="A1222" t="inlineStr">
        <is>
          <t>2026.06.08平倉</t>
        </is>
      </c>
      <c r="B1222" t="inlineStr">
        <is>
          <t>100股</t>
        </is>
      </c>
      <c r="C1222" t="n">
        <v>74360.95</v>
      </c>
    </row>
    <row r="1223">
      <c r="B1223" t="inlineStr">
        <is>
          <t>平倉損益</t>
        </is>
      </c>
      <c r="C1223">
        <f>+C1221+C1222</f>
        <v/>
      </c>
    </row>
    <row r="1224">
      <c r="B1224" t="inlineStr">
        <is>
          <t>平倉損益 %</t>
        </is>
      </c>
      <c r="C1224">
        <f>C1223/ABS(C1221)</f>
        <v/>
      </c>
    </row>
    <row r="1226">
      <c r="A1226" t="inlineStr">
        <is>
          <t>累積留倉   200股</t>
        </is>
      </c>
    </row>
    <row r="1227">
      <c r="A1227" t="inlineStr">
        <is>
          <t>2026.06.05 留倉</t>
        </is>
      </c>
      <c r="B1227" t="inlineStr">
        <is>
          <t>買 100股</t>
        </is>
      </c>
      <c r="C1227">
        <f>C1198</f>
        <v/>
      </c>
    </row>
    <row r="1228">
      <c r="A1228" t="inlineStr">
        <is>
          <t>2026.06.05 留倉</t>
        </is>
      </c>
      <c r="B1228" t="inlineStr">
        <is>
          <t>買 100股</t>
        </is>
      </c>
      <c r="C1228">
        <f>C1199</f>
        <v/>
      </c>
    </row>
    <row r="1231">
      <c r="A1231" s="80" t="inlineStr">
        <is>
          <t>2026.06.09</t>
        </is>
      </c>
      <c r="B1231" s="80" t="n">
        <v>-41429.96</v>
      </c>
      <c r="C1231" s="80" t="inlineStr">
        <is>
          <t>損益</t>
        </is>
      </c>
    </row>
    <row r="1232">
      <c r="A1232" s="80" t="n">
        <v>-74453.5</v>
      </c>
      <c r="B1232" s="80">
        <f>+B1231+A1232</f>
        <v/>
      </c>
      <c r="C1232" s="80" t="n"/>
    </row>
    <row r="1233">
      <c r="A1233" s="80" t="n">
        <v>74517.46000000001</v>
      </c>
      <c r="B1233" s="80">
        <f>+B1232+A1233</f>
        <v/>
      </c>
      <c r="C1233" s="80" t="n">
        <v>63.96</v>
      </c>
    </row>
    <row r="1234">
      <c r="A1234" s="80" t="n">
        <v>-74671.99000000001</v>
      </c>
      <c r="B1234" s="80">
        <f>+B1233+A1234</f>
        <v/>
      </c>
      <c r="C1234" s="80" t="n"/>
    </row>
    <row r="1235">
      <c r="A1235" s="80" t="n">
        <v>74555.42</v>
      </c>
      <c r="B1235" s="80">
        <f>+B1234+A1235</f>
        <v/>
      </c>
      <c r="C1235" s="80" t="n">
        <v>-116.57</v>
      </c>
    </row>
    <row r="1236">
      <c r="A1236" s="80" t="n">
        <v>-74527</v>
      </c>
      <c r="B1236" s="80">
        <f>+B1235+A1236</f>
        <v/>
      </c>
      <c r="C1236" s="80" t="n"/>
    </row>
    <row r="1237">
      <c r="A1237" s="80" t="n">
        <v>74496.95</v>
      </c>
      <c r="B1237" s="80">
        <f>+B1236+A1237</f>
        <v/>
      </c>
      <c r="C1237" s="80" t="n">
        <v>-30.05</v>
      </c>
    </row>
    <row r="1238">
      <c r="A1238" s="80" t="n">
        <v>-74417.60000000001</v>
      </c>
      <c r="B1238" s="80">
        <f>+B1237+A1238</f>
        <v/>
      </c>
      <c r="C1238" s="80" t="n"/>
    </row>
    <row r="1239">
      <c r="A1239" s="80" t="n">
        <v>74383.46000000001</v>
      </c>
      <c r="B1239" s="80">
        <f>+B1238+A1239</f>
        <v/>
      </c>
      <c r="C1239" s="80" t="n">
        <v>-34.14</v>
      </c>
    </row>
    <row r="1240">
      <c r="A1240" s="80" t="n">
        <v>-74291.5</v>
      </c>
      <c r="B1240" s="80">
        <f>+B1239+A1240</f>
        <v/>
      </c>
      <c r="C1240" s="80" t="n"/>
    </row>
    <row r="1241">
      <c r="A1241" s="80" t="n">
        <v>-8890.620000000001</v>
      </c>
      <c r="B1241" s="80">
        <f>+B1240+A1241</f>
        <v/>
      </c>
      <c r="C1241" s="80" t="n"/>
    </row>
    <row r="1242">
      <c r="A1242" s="80" t="n">
        <v>-65199.11</v>
      </c>
      <c r="B1242" s="80">
        <f>+B1241+A1242</f>
        <v/>
      </c>
      <c r="C1242" s="80" t="n"/>
    </row>
    <row r="1243">
      <c r="A1243" s="80" t="n">
        <v>29562.18</v>
      </c>
      <c r="B1243" s="80">
        <f>+B1242+A1243</f>
        <v/>
      </c>
      <c r="C1243" s="80" t="n"/>
    </row>
    <row r="1244">
      <c r="A1244" s="80" t="n">
        <v>44342.14</v>
      </c>
      <c r="B1244" s="80">
        <f>+B1243+A1244</f>
        <v/>
      </c>
      <c r="C1244" s="80" t="n">
        <v>-185.41</v>
      </c>
    </row>
    <row r="1245">
      <c r="A1245" s="80" t="n">
        <v>-73548.89999999999</v>
      </c>
      <c r="B1245" s="80">
        <f>+B1244+A1245</f>
        <v/>
      </c>
      <c r="C1245" s="80" t="n"/>
    </row>
    <row r="1246">
      <c r="A1246" s="80" t="n">
        <v>73569.46000000001</v>
      </c>
      <c r="B1246" s="80">
        <f>+B1245+A1246</f>
        <v/>
      </c>
      <c r="C1246" s="80" t="n">
        <v>20.56</v>
      </c>
    </row>
    <row r="1247">
      <c r="A1247" s="80" t="n">
        <v>-73659.99000000001</v>
      </c>
      <c r="B1247" s="80">
        <f>+B1246+A1247</f>
        <v/>
      </c>
      <c r="C1247" s="80" t="n"/>
    </row>
    <row r="1248">
      <c r="A1248" s="80" t="n">
        <v>73595.96000000001</v>
      </c>
      <c r="B1248" s="80">
        <f>+B1247+A1248</f>
        <v/>
      </c>
      <c r="C1248" s="80" t="n">
        <v>-64.03</v>
      </c>
    </row>
    <row r="1249">
      <c r="A1249" s="80" t="n">
        <v>-73649</v>
      </c>
      <c r="B1249" s="80">
        <f>+B1248+A1249</f>
        <v/>
      </c>
      <c r="C1249" s="80" t="n"/>
    </row>
    <row r="1250">
      <c r="A1250" s="80" t="n">
        <v>59678.12</v>
      </c>
      <c r="B1250" s="80">
        <f>+B1249+A1250</f>
        <v/>
      </c>
      <c r="C1250" s="80" t="n"/>
    </row>
    <row r="1251">
      <c r="A1251" s="80" t="n">
        <v>13998.58</v>
      </c>
      <c r="B1251" s="80">
        <f>+B1250+A1251</f>
        <v/>
      </c>
      <c r="C1251" s="80" t="n">
        <v>27.7</v>
      </c>
    </row>
    <row r="1252">
      <c r="A1252" s="80" t="n">
        <v>-73735.5</v>
      </c>
      <c r="B1252" s="80">
        <f>+B1251+A1252</f>
        <v/>
      </c>
      <c r="C1252" s="80" t="n"/>
    </row>
    <row r="1253">
      <c r="A1253" s="80" t="n">
        <v>73779.46000000001</v>
      </c>
      <c r="B1253" s="80">
        <f>+B1252+A1253</f>
        <v/>
      </c>
      <c r="C1253" s="80" t="n">
        <v>43.96</v>
      </c>
    </row>
    <row r="1254">
      <c r="A1254" s="80" t="n">
        <v>-29504.8</v>
      </c>
      <c r="B1254" s="80">
        <f>+B1253+A1254</f>
        <v/>
      </c>
      <c r="C1254" s="80" t="n"/>
    </row>
    <row r="1255">
      <c r="A1255" s="80" t="n">
        <v>-44257.19</v>
      </c>
      <c r="B1255" s="80">
        <f>+B1254+A1255</f>
        <v/>
      </c>
      <c r="C1255" s="80" t="n"/>
    </row>
    <row r="1256">
      <c r="A1256" s="80" t="n">
        <v>73793.96000000001</v>
      </c>
      <c r="B1256" s="80">
        <f>+B1255+A1256</f>
        <v/>
      </c>
      <c r="C1256" s="80" t="n">
        <v>31.97</v>
      </c>
    </row>
    <row r="1257">
      <c r="A1257" s="80" t="n">
        <v>-72494.99000000001</v>
      </c>
      <c r="B1257" s="80">
        <f>+B1256+A1257</f>
        <v/>
      </c>
      <c r="C1257" s="80" t="n"/>
    </row>
    <row r="1258">
      <c r="A1258" s="80" t="n">
        <v>72483.99000000001</v>
      </c>
      <c r="B1258" s="80">
        <f>+B1257+A1258</f>
        <v/>
      </c>
      <c r="C1258" s="80" t="n">
        <v>-11</v>
      </c>
    </row>
    <row r="1259">
      <c r="A1259" s="80" t="n"/>
      <c r="B1259" s="80" t="inlineStr">
        <is>
          <t xml:space="preserve">合計 </t>
        </is>
      </c>
      <c r="C1259" s="80">
        <f>SUM(C1232:C1258)</f>
        <v/>
      </c>
    </row>
    <row r="1260">
      <c r="A1260" s="80" t="n"/>
      <c r="B1260" s="80" t="inlineStr">
        <is>
          <t>核驗</t>
        </is>
      </c>
      <c r="C1260" s="80">
        <f>+B1258-B1231-A1240-A1241</f>
        <v/>
      </c>
    </row>
    <row r="1262">
      <c r="A1262" t="inlineStr">
        <is>
          <t>2026.06.09當沖</t>
        </is>
      </c>
      <c r="B1262" t="inlineStr">
        <is>
          <t>買</t>
        </is>
      </c>
      <c r="C1262" s="80">
        <f>SUMIF(A1232:A1258,"&lt;0")-A1240</f>
        <v/>
      </c>
    </row>
    <row r="1263">
      <c r="A1263">
        <f>"SPY " &amp; COUNT(C1232:C1258) * 100 &amp; "股"</f>
        <v/>
      </c>
      <c r="B1263" t="inlineStr">
        <is>
          <t>賣</t>
        </is>
      </c>
      <c r="C1263" s="80">
        <f>SUMIF(A1232:A1258,"&gt;0")</f>
        <v/>
      </c>
    </row>
    <row r="1264">
      <c r="B1264" t="inlineStr">
        <is>
          <t>當日損益</t>
        </is>
      </c>
      <c r="C1264" s="80">
        <f>+C1262+C1263</f>
        <v/>
      </c>
    </row>
    <row r="1265">
      <c r="B1265" t="inlineStr">
        <is>
          <t>當日損益 %</t>
        </is>
      </c>
      <c r="C1265" s="38">
        <f>C1264/ABS(C1262)</f>
        <v/>
      </c>
    </row>
    <row r="1267">
      <c r="A1267" t="inlineStr">
        <is>
          <t>累積留倉   300股</t>
        </is>
      </c>
    </row>
    <row r="1268">
      <c r="A1268" t="inlineStr">
        <is>
          <t>2026.06.05 留倉</t>
        </is>
      </c>
      <c r="B1268" t="inlineStr">
        <is>
          <t>買 100股</t>
        </is>
      </c>
      <c r="C1268" s="80">
        <f>C1227</f>
        <v/>
      </c>
    </row>
    <row r="1269">
      <c r="A1269" t="inlineStr">
        <is>
          <t>2026.06.05 留倉</t>
        </is>
      </c>
      <c r="B1269" t="inlineStr">
        <is>
          <t>買 100股</t>
        </is>
      </c>
      <c r="C1269" s="80">
        <f>C1228</f>
        <v/>
      </c>
    </row>
    <row r="1270">
      <c r="A1270" t="inlineStr">
        <is>
          <t>2026.06.09 留倉</t>
        </is>
      </c>
      <c r="B1270" t="inlineStr">
        <is>
          <t>買 100股</t>
        </is>
      </c>
      <c r="C1270" s="80" t="n">
        <v>-74291.5</v>
      </c>
    </row>
    <row r="1273">
      <c r="A1273" t="inlineStr">
        <is>
          <t>2026.06.10</t>
        </is>
      </c>
      <c r="B1273" t="n">
        <v>-41683.01</v>
      </c>
      <c r="C1273" t="inlineStr">
        <is>
          <t>損益</t>
        </is>
      </c>
    </row>
    <row r="1274">
      <c r="A1274" t="n">
        <v>-73466</v>
      </c>
      <c r="B1274">
        <f>+B1273+A1274</f>
        <v/>
      </c>
    </row>
    <row r="1275">
      <c r="A1275" t="n">
        <v>73550.47</v>
      </c>
      <c r="B1275">
        <f>+B1274+A1275</f>
        <v/>
      </c>
      <c r="C1275" t="n">
        <v>84.47</v>
      </c>
    </row>
    <row r="1276">
      <c r="A1276" t="n">
        <v>-73523.5</v>
      </c>
      <c r="B1276">
        <f>+B1275+A1276</f>
        <v/>
      </c>
    </row>
    <row r="1277">
      <c r="A1277" t="n">
        <v>73545.46000000001</v>
      </c>
      <c r="B1277">
        <f>+B1276+A1277</f>
        <v/>
      </c>
      <c r="C1277" t="n">
        <v>21.96</v>
      </c>
    </row>
    <row r="1278">
      <c r="A1278" t="n">
        <v>-73601</v>
      </c>
      <c r="B1278">
        <f>+B1277+A1278</f>
        <v/>
      </c>
    </row>
    <row r="1279">
      <c r="A1279" t="n">
        <v>73640.46000000001</v>
      </c>
      <c r="B1279">
        <f>+B1278+A1279</f>
        <v/>
      </c>
      <c r="C1279" t="n">
        <v>39.46</v>
      </c>
    </row>
    <row r="1280">
      <c r="A1280" t="n">
        <v>-73664</v>
      </c>
      <c r="B1280">
        <f>+B1279+A1280</f>
        <v/>
      </c>
    </row>
    <row r="1281">
      <c r="A1281" t="n">
        <v>73677.47</v>
      </c>
      <c r="B1281">
        <f>+B1280+A1281</f>
        <v/>
      </c>
      <c r="C1281" t="n">
        <v>13.47</v>
      </c>
    </row>
    <row r="1282">
      <c r="A1282" t="n">
        <v>-73686</v>
      </c>
      <c r="B1282">
        <f>+B1281+A1282</f>
        <v/>
      </c>
    </row>
    <row r="1283">
      <c r="A1283" t="n">
        <v>73720.46000000001</v>
      </c>
      <c r="B1283">
        <f>+B1282+A1283</f>
        <v/>
      </c>
      <c r="C1283" t="n">
        <v>34.46</v>
      </c>
    </row>
    <row r="1284">
      <c r="A1284" t="n">
        <v>-73622.50999999999</v>
      </c>
      <c r="B1284">
        <f>+B1283+A1284</f>
        <v/>
      </c>
    </row>
    <row r="1285">
      <c r="A1285" t="n">
        <v>73639.46000000001</v>
      </c>
      <c r="B1285">
        <f>+B1284+A1285</f>
        <v/>
      </c>
      <c r="C1285" t="n">
        <v>16.95</v>
      </c>
    </row>
    <row r="1286">
      <c r="A1286" t="n">
        <v>-29464.4</v>
      </c>
      <c r="B1286">
        <f>+B1285+A1286</f>
        <v/>
      </c>
    </row>
    <row r="1287">
      <c r="A1287" t="n">
        <v>-29464.6</v>
      </c>
      <c r="B1287">
        <f>+B1286+A1287</f>
        <v/>
      </c>
    </row>
    <row r="1288">
      <c r="A1288" t="n">
        <v>-14732.4</v>
      </c>
      <c r="B1288">
        <f>+B1287+A1288</f>
        <v/>
      </c>
    </row>
    <row r="1289">
      <c r="A1289" t="n">
        <v>73707.46000000001</v>
      </c>
      <c r="B1289">
        <f>+B1288+A1289</f>
        <v/>
      </c>
      <c r="C1289" t="n">
        <v>46.06</v>
      </c>
    </row>
    <row r="1290">
      <c r="A1290" t="n">
        <v>-73719.5</v>
      </c>
      <c r="B1290">
        <f>+B1289+A1290</f>
        <v/>
      </c>
    </row>
    <row r="1291">
      <c r="A1291" t="n">
        <v>73719.47</v>
      </c>
      <c r="B1291">
        <f>+B1290+A1291</f>
        <v/>
      </c>
      <c r="C1291" t="n">
        <v>-0.03</v>
      </c>
    </row>
    <row r="1292">
      <c r="A1292" t="n">
        <v>-1471.22</v>
      </c>
      <c r="B1292">
        <f>+B1291+A1292</f>
        <v/>
      </c>
    </row>
    <row r="1293">
      <c r="A1293" t="n">
        <v>-735.61</v>
      </c>
      <c r="B1293">
        <f>+B1292+A1293</f>
        <v/>
      </c>
    </row>
    <row r="1294">
      <c r="A1294" t="n">
        <v>-6620.58</v>
      </c>
      <c r="B1294">
        <f>+B1293+A1294</f>
        <v/>
      </c>
    </row>
    <row r="1295">
      <c r="A1295" t="n">
        <v>-1471.24</v>
      </c>
      <c r="B1295">
        <f>+B1294+A1295</f>
        <v/>
      </c>
    </row>
    <row r="1296">
      <c r="A1296" t="n">
        <v>-5884.95</v>
      </c>
      <c r="B1296">
        <f>+B1295+A1296</f>
        <v/>
      </c>
    </row>
    <row r="1297">
      <c r="A1297" t="n">
        <v>-57378.35</v>
      </c>
      <c r="B1297">
        <f>+B1296+A1297</f>
        <v/>
      </c>
    </row>
    <row r="1298">
      <c r="A1298" t="n">
        <v>73536.97</v>
      </c>
      <c r="B1298">
        <f>+B1297+A1298</f>
        <v/>
      </c>
      <c r="C1298" t="n">
        <v>-24.98</v>
      </c>
    </row>
    <row r="1299">
      <c r="A1299" t="n">
        <v>-73225.46000000001</v>
      </c>
      <c r="B1299">
        <f>+B1298+A1299</f>
        <v/>
      </c>
    </row>
    <row r="1300">
      <c r="A1300" t="n">
        <v>73189.47</v>
      </c>
      <c r="B1300">
        <f>+B1299+A1300</f>
        <v/>
      </c>
      <c r="C1300" t="n">
        <v>-35.99</v>
      </c>
    </row>
    <row r="1301">
      <c r="A1301" t="n">
        <v>-73083.75</v>
      </c>
      <c r="B1301">
        <f>+B1300+A1301</f>
        <v/>
      </c>
    </row>
    <row r="1302">
      <c r="A1302" t="n">
        <v>73083.57000000001</v>
      </c>
      <c r="B1302">
        <f>+B1301+A1302</f>
        <v/>
      </c>
      <c r="C1302" t="n">
        <v>-0.18</v>
      </c>
    </row>
    <row r="1303">
      <c r="B1303" t="inlineStr">
        <is>
          <t xml:space="preserve">合計 </t>
        </is>
      </c>
      <c r="C1303">
        <f>SUM(C1274:C1302)</f>
        <v/>
      </c>
    </row>
    <row r="1304">
      <c r="B1304" t="inlineStr">
        <is>
          <t>核驗</t>
        </is>
      </c>
      <c r="C1304">
        <f>+B1302-B1273</f>
        <v/>
      </c>
    </row>
    <row r="1306">
      <c r="A1306" t="inlineStr">
        <is>
          <t>2026.06.10當沖</t>
        </is>
      </c>
      <c r="B1306" t="inlineStr">
        <is>
          <t>買</t>
        </is>
      </c>
      <c r="C1306" s="80">
        <f>SUMIF(A1274:A1302,"&lt;0")</f>
        <v/>
      </c>
    </row>
    <row r="1307">
      <c r="A1307">
        <f>"SPY " &amp; COUNT(C1274:C1302) * 100 &amp; "股"</f>
        <v/>
      </c>
      <c r="B1307" t="inlineStr">
        <is>
          <t>賣</t>
        </is>
      </c>
      <c r="C1307" s="80">
        <f>SUMIF(A1274:A1302,"&gt;0")</f>
        <v/>
      </c>
    </row>
    <row r="1308">
      <c r="B1308" t="inlineStr">
        <is>
          <t>當日損益</t>
        </is>
      </c>
      <c r="C1308" s="80">
        <f>+C1306+C1307</f>
        <v/>
      </c>
    </row>
    <row r="1309">
      <c r="B1309" t="inlineStr">
        <is>
          <t>當日損益 %</t>
        </is>
      </c>
      <c r="C1309" s="38">
        <f>C1308/ABS(C1306)</f>
        <v/>
      </c>
    </row>
    <row r="1311">
      <c r="A1311" t="inlineStr">
        <is>
          <t>累積留倉   300股</t>
        </is>
      </c>
    </row>
    <row r="1312">
      <c r="A1312" t="inlineStr">
        <is>
          <t>2026.06.05 留倉</t>
        </is>
      </c>
      <c r="B1312" t="inlineStr">
        <is>
          <t>買 100股</t>
        </is>
      </c>
      <c r="C1312" s="80">
        <f>C1268</f>
        <v/>
      </c>
    </row>
    <row r="1313">
      <c r="A1313" t="inlineStr">
        <is>
          <t>2026.06.05 留倉</t>
        </is>
      </c>
      <c r="B1313" t="inlineStr">
        <is>
          <t>買 100股</t>
        </is>
      </c>
      <c r="C1313" s="80">
        <f>C1269</f>
        <v/>
      </c>
    </row>
    <row r="1314">
      <c r="A1314" t="inlineStr">
        <is>
          <t>2026.06.09 留倉</t>
        </is>
      </c>
      <c r="B1314" t="inlineStr">
        <is>
          <t>買 100股</t>
        </is>
      </c>
      <c r="C1314" s="80">
        <f>C1270</f>
        <v/>
      </c>
    </row>
    <row r="1317">
      <c r="A1317" t="inlineStr">
        <is>
          <t>2026.06.11</t>
        </is>
      </c>
      <c r="B1317" t="n">
        <v>-116655.63</v>
      </c>
      <c r="C1317" t="inlineStr">
        <is>
          <t>損益</t>
        </is>
      </c>
    </row>
    <row r="1318">
      <c r="A1318" t="n">
        <v>-72778.5</v>
      </c>
      <c r="B1318">
        <f>+B1317+A1318</f>
        <v/>
      </c>
    </row>
    <row r="1319">
      <c r="A1319" t="n">
        <v>72919.48</v>
      </c>
      <c r="B1319">
        <f>+B1318+A1319</f>
        <v/>
      </c>
      <c r="C1319" t="n">
        <v>140.98</v>
      </c>
    </row>
    <row r="1320">
      <c r="A1320" t="n">
        <v>-73051</v>
      </c>
      <c r="B1320">
        <f>+B1319+A1320</f>
        <v/>
      </c>
    </row>
    <row r="1321">
      <c r="A1321" t="n">
        <v>73090.47</v>
      </c>
      <c r="B1321">
        <f>+B1320+A1321</f>
        <v/>
      </c>
      <c r="C1321" t="n">
        <v>39.47</v>
      </c>
    </row>
    <row r="1322">
      <c r="A1322" t="n">
        <v>-72703</v>
      </c>
      <c r="B1322">
        <f>+B1321+A1322</f>
        <v/>
      </c>
    </row>
    <row r="1323">
      <c r="A1323" t="n">
        <v>72853.48</v>
      </c>
      <c r="B1323">
        <f>+B1322+A1323</f>
        <v/>
      </c>
      <c r="C1323" t="n">
        <v>150.48</v>
      </c>
    </row>
    <row r="1324">
      <c r="A1324" t="n">
        <v>-72909</v>
      </c>
      <c r="B1324">
        <f>+B1323+A1324</f>
        <v/>
      </c>
    </row>
    <row r="1325">
      <c r="A1325" t="n">
        <v>72865.48</v>
      </c>
      <c r="B1325">
        <f>+B1324+A1325</f>
        <v/>
      </c>
      <c r="C1325" t="n">
        <v>-43.52</v>
      </c>
    </row>
    <row r="1326">
      <c r="A1326" t="n">
        <v>-72985.89999999999</v>
      </c>
      <c r="B1326">
        <f>+B1325+A1326</f>
        <v/>
      </c>
    </row>
    <row r="1327">
      <c r="A1327" t="n">
        <v>72965.57000000001</v>
      </c>
      <c r="B1327">
        <f>+B1326+A1327</f>
        <v/>
      </c>
      <c r="C1327" t="n">
        <v>-20.33</v>
      </c>
    </row>
    <row r="1328">
      <c r="A1328" t="n">
        <v>-72643.48</v>
      </c>
      <c r="B1328">
        <f>+B1327+A1328</f>
        <v/>
      </c>
    </row>
    <row r="1329">
      <c r="A1329" t="n">
        <v>72690.88</v>
      </c>
      <c r="B1329">
        <f>+B1328+A1329</f>
        <v/>
      </c>
      <c r="C1329" t="n">
        <v>47.4</v>
      </c>
    </row>
    <row r="1330">
      <c r="A1330" t="n">
        <v>-72702.99000000001</v>
      </c>
      <c r="B1330">
        <f>+B1329+A1330</f>
        <v/>
      </c>
    </row>
    <row r="1331">
      <c r="A1331" t="n">
        <v>72709.98</v>
      </c>
      <c r="B1331">
        <f>+B1330+A1331</f>
        <v/>
      </c>
      <c r="C1331" t="n">
        <v>6.99</v>
      </c>
    </row>
    <row r="1332">
      <c r="A1332" t="n">
        <v>-72707.99000000001</v>
      </c>
      <c r="B1332">
        <f>+B1331+A1332</f>
        <v/>
      </c>
    </row>
    <row r="1333">
      <c r="A1333" t="n">
        <v>72749.48</v>
      </c>
      <c r="B1333">
        <f>+B1332+A1333</f>
        <v/>
      </c>
      <c r="C1333" t="n">
        <v>41.49</v>
      </c>
    </row>
    <row r="1334">
      <c r="A1334" t="n">
        <v>-72794.59</v>
      </c>
      <c r="B1334">
        <f>+B1333+A1334</f>
        <v/>
      </c>
    </row>
    <row r="1335">
      <c r="A1335" t="n">
        <v>-72853.5</v>
      </c>
      <c r="B1335">
        <f>+B1334+A1335</f>
        <v/>
      </c>
    </row>
    <row r="1336">
      <c r="A1336" t="n">
        <v>72981.48</v>
      </c>
      <c r="B1336" s="37">
        <f>+B1335+A1336</f>
        <v/>
      </c>
      <c r="C1336" t="n">
        <v>127.98</v>
      </c>
    </row>
    <row r="1337">
      <c r="B1337" t="inlineStr">
        <is>
          <t xml:space="preserve">合計 </t>
        </is>
      </c>
      <c r="C1337">
        <f>SUM(C1318:C1336)</f>
        <v/>
      </c>
    </row>
    <row r="1338">
      <c r="B1338" t="inlineStr">
        <is>
          <t>核驗</t>
        </is>
      </c>
      <c r="C1338" s="37">
        <f>+B1336-B1317-A1334</f>
        <v/>
      </c>
    </row>
    <row r="1340">
      <c r="A1340" t="inlineStr">
        <is>
          <t>2026.06.11當沖</t>
        </is>
      </c>
      <c r="B1340" t="inlineStr">
        <is>
          <t>買</t>
        </is>
      </c>
      <c r="C1340">
        <f>SUMIF(A1318:A1336,"&lt;0")-A1334</f>
        <v/>
      </c>
    </row>
    <row r="1341">
      <c r="A1341">
        <f>"SPY " &amp; COUNT(C1318:C1336) * 100 &amp; "股"</f>
        <v/>
      </c>
      <c r="B1341" t="inlineStr">
        <is>
          <t>賣</t>
        </is>
      </c>
      <c r="C1341">
        <f>SUMIF(A1318:A1336,"&gt;0")</f>
        <v/>
      </c>
    </row>
    <row r="1342">
      <c r="B1342" t="inlineStr">
        <is>
          <t>當日損益</t>
        </is>
      </c>
      <c r="C1342">
        <f>+C1340+C1341</f>
        <v/>
      </c>
    </row>
    <row r="1343">
      <c r="B1343" t="inlineStr">
        <is>
          <t>當日損益 %</t>
        </is>
      </c>
      <c r="C1343">
        <f>C1342/ABS(C1340)</f>
        <v/>
      </c>
    </row>
    <row r="1345">
      <c r="A1345" t="inlineStr">
        <is>
          <t>累積留倉   400股</t>
        </is>
      </c>
    </row>
    <row r="1346">
      <c r="A1346" t="inlineStr">
        <is>
          <t>2026.06.05 留倉</t>
        </is>
      </c>
      <c r="B1346" t="inlineStr">
        <is>
          <t>買 100股</t>
        </is>
      </c>
      <c r="C1346">
        <f>C1312</f>
        <v/>
      </c>
    </row>
    <row r="1347">
      <c r="A1347" t="inlineStr">
        <is>
          <t>2026.06.05 留倉</t>
        </is>
      </c>
      <c r="B1347" t="inlineStr">
        <is>
          <t>買 100股</t>
        </is>
      </c>
      <c r="C1347">
        <f>C1313</f>
        <v/>
      </c>
    </row>
    <row r="1348">
      <c r="A1348" t="inlineStr">
        <is>
          <t>2026.06.09 留倉</t>
        </is>
      </c>
      <c r="B1348" t="inlineStr">
        <is>
          <t>買 100股</t>
        </is>
      </c>
      <c r="C1348">
        <f>C1314</f>
        <v/>
      </c>
    </row>
    <row r="1349">
      <c r="A1349" t="inlineStr">
        <is>
          <t>2026.06.11 留倉</t>
        </is>
      </c>
      <c r="B1349" t="inlineStr">
        <is>
          <t>買 100股</t>
        </is>
      </c>
      <c r="C1349" t="n">
        <v>-72794.59</v>
      </c>
    </row>
    <row r="1351">
      <c r="A1351" t="inlineStr">
        <is>
          <t>2026.06.12</t>
        </is>
      </c>
      <c r="B1351" t="n">
        <v>-116164.69</v>
      </c>
      <c r="C1351" t="inlineStr">
        <is>
          <t>損益</t>
        </is>
      </c>
    </row>
    <row r="1352">
      <c r="A1352" t="n">
        <v>-73885.89999999999</v>
      </c>
      <c r="B1352">
        <f>+B1351+A1352</f>
        <v/>
      </c>
    </row>
    <row r="1353">
      <c r="A1353" t="n">
        <v>73938.47</v>
      </c>
      <c r="B1353">
        <f>+B1352+A1353</f>
        <v/>
      </c>
      <c r="C1353" t="n">
        <v>52.57</v>
      </c>
    </row>
    <row r="1354">
      <c r="A1354" t="n">
        <v>-73931.92999999999</v>
      </c>
      <c r="B1354">
        <f>+B1353+A1354</f>
        <v/>
      </c>
    </row>
    <row r="1355">
      <c r="A1355" t="n">
        <v>74049.85000000001</v>
      </c>
      <c r="B1355">
        <f>+B1354+A1355</f>
        <v/>
      </c>
      <c r="C1355" t="n">
        <v>117.92</v>
      </c>
    </row>
    <row r="1356">
      <c r="A1356" t="n">
        <v>-74160.5</v>
      </c>
      <c r="B1356">
        <f>+B1355+A1356</f>
        <v/>
      </c>
    </row>
    <row r="1357">
      <c r="A1357" t="n">
        <v>74095.33</v>
      </c>
      <c r="B1357">
        <f>+B1356+A1357</f>
        <v/>
      </c>
      <c r="C1357" t="n">
        <v>-65.17</v>
      </c>
    </row>
    <row r="1358">
      <c r="A1358" t="n">
        <v>-74071.5</v>
      </c>
      <c r="B1358">
        <f>+B1357+A1358</f>
        <v/>
      </c>
    </row>
    <row r="1359">
      <c r="A1359" t="n">
        <v>74092.95</v>
      </c>
      <c r="B1359">
        <f>+B1358+A1359</f>
        <v/>
      </c>
      <c r="C1359" t="n">
        <v>21.45</v>
      </c>
    </row>
    <row r="1360">
      <c r="A1360" t="n">
        <v>-74076</v>
      </c>
      <c r="B1360">
        <f>+B1359+A1360</f>
        <v/>
      </c>
    </row>
    <row r="1361">
      <c r="A1361" t="n">
        <v>74038.45</v>
      </c>
      <c r="B1361">
        <f>+B1360+A1361</f>
        <v/>
      </c>
      <c r="C1361" t="n">
        <v>-37.55</v>
      </c>
    </row>
    <row r="1362">
      <c r="A1362" t="n">
        <v>-74076</v>
      </c>
      <c r="B1362">
        <f>+B1361+A1362</f>
        <v/>
      </c>
    </row>
    <row r="1363">
      <c r="A1363" t="n">
        <v>74136.74000000001</v>
      </c>
      <c r="B1363">
        <f>+B1362+A1363</f>
        <v/>
      </c>
      <c r="C1363" t="n">
        <v>60.74</v>
      </c>
    </row>
    <row r="1364">
      <c r="A1364" t="n">
        <v>-74172.99000000001</v>
      </c>
      <c r="B1364">
        <f>+B1363+A1364</f>
        <v/>
      </c>
    </row>
    <row r="1365">
      <c r="A1365" t="n">
        <v>74197.45</v>
      </c>
      <c r="B1365">
        <f>+B1364+A1365</f>
        <v/>
      </c>
      <c r="C1365" t="n">
        <v>24.46</v>
      </c>
    </row>
    <row r="1366">
      <c r="B1366" t="inlineStr">
        <is>
          <t xml:space="preserve">合計 </t>
        </is>
      </c>
      <c r="C1366">
        <f>SUM(C1352:C1365)</f>
        <v/>
      </c>
    </row>
    <row r="1367">
      <c r="B1367" t="inlineStr">
        <is>
          <t>核驗</t>
        </is>
      </c>
      <c r="C1367">
        <f>+B1365-B1351</f>
        <v/>
      </c>
    </row>
    <row r="1369">
      <c r="A1369" t="inlineStr">
        <is>
          <t>2026.06.12當沖</t>
        </is>
      </c>
      <c r="B1369" t="inlineStr">
        <is>
          <t>買</t>
        </is>
      </c>
      <c r="C1369">
        <f>SUMIF(A1352:A1365,"&lt;0")</f>
        <v/>
      </c>
    </row>
    <row r="1370">
      <c r="A1370">
        <f>"SPY " &amp; COUNT(C1352:C1365) * 100 &amp; "股"</f>
        <v/>
      </c>
      <c r="B1370" t="inlineStr">
        <is>
          <t>賣</t>
        </is>
      </c>
      <c r="C1370">
        <f>SUMIF(A1352:A1365,"&gt;0")</f>
        <v/>
      </c>
    </row>
    <row r="1371">
      <c r="B1371" t="inlineStr">
        <is>
          <t>當沖損益金額</t>
        </is>
      </c>
      <c r="C1371">
        <f>+C1369+C1370</f>
        <v/>
      </c>
    </row>
    <row r="1372">
      <c r="B1372" t="inlineStr">
        <is>
          <t>當沖損益金額 %</t>
        </is>
      </c>
      <c r="C1372">
        <f>C1371/ABS(C1369)</f>
        <v/>
      </c>
    </row>
    <row r="1374">
      <c r="A1374" t="inlineStr">
        <is>
          <t>累積留倉　400股</t>
        </is>
      </c>
    </row>
    <row r="1375">
      <c r="A1375" t="inlineStr">
        <is>
          <t>2026.06.05 留倉</t>
        </is>
      </c>
      <c r="B1375" t="inlineStr">
        <is>
          <t>買 100股</t>
        </is>
      </c>
      <c r="C1375">
        <f>C1346</f>
        <v/>
      </c>
    </row>
    <row r="1376">
      <c r="A1376" t="inlineStr">
        <is>
          <t>2026.06.05 留倉</t>
        </is>
      </c>
      <c r="B1376" t="inlineStr">
        <is>
          <t>買 100股</t>
        </is>
      </c>
      <c r="C1376">
        <f>C1347</f>
        <v/>
      </c>
    </row>
    <row r="1377">
      <c r="A1377" t="inlineStr">
        <is>
          <t>2026.06.09 留倉</t>
        </is>
      </c>
      <c r="B1377" t="inlineStr">
        <is>
          <t>買 100股</t>
        </is>
      </c>
      <c r="C1377">
        <f>C1348</f>
        <v/>
      </c>
    </row>
    <row r="1378">
      <c r="A1378" t="inlineStr">
        <is>
          <t>2026.06.11 留倉</t>
        </is>
      </c>
      <c r="B1378" t="inlineStr">
        <is>
          <t>買 100股</t>
        </is>
      </c>
      <c r="C1378">
        <f>C1349</f>
        <v/>
      </c>
    </row>
    <row r="1380">
      <c r="A1380" t="inlineStr">
        <is>
          <t>2026.06.15</t>
        </is>
      </c>
      <c r="B1380" t="n">
        <v>-115990.27</v>
      </c>
      <c r="C1380" t="inlineStr">
        <is>
          <t>損益</t>
        </is>
      </c>
    </row>
    <row r="1381">
      <c r="A1381" t="n">
        <v>75192.92999999999</v>
      </c>
      <c r="B1381">
        <f>+B1380+A1381</f>
        <v/>
      </c>
    </row>
    <row r="1382">
      <c r="A1382" t="n">
        <v>75223.92999999999</v>
      </c>
      <c r="B1382">
        <f>+B1381+A1382</f>
        <v/>
      </c>
    </row>
    <row r="1383">
      <c r="A1383" t="n">
        <v>75257.45</v>
      </c>
      <c r="B1383">
        <f>+B1382+A1383</f>
        <v/>
      </c>
    </row>
    <row r="1384">
      <c r="A1384" t="n">
        <v>75291.44</v>
      </c>
      <c r="B1384">
        <f>+B1383+A1384</f>
        <v/>
      </c>
    </row>
    <row r="1385">
      <c r="A1385" t="n">
        <v>-75296.5</v>
      </c>
      <c r="B1385">
        <f>+B1384+A1385</f>
        <v/>
      </c>
    </row>
    <row r="1386">
      <c r="A1386" t="n">
        <v>75319.44</v>
      </c>
      <c r="B1386">
        <f>+B1385+A1386</f>
        <v/>
      </c>
      <c r="C1386" t="n">
        <v>22.94</v>
      </c>
    </row>
    <row r="1387">
      <c r="A1387" t="n">
        <v>-75593.99000000001</v>
      </c>
      <c r="B1387">
        <f>+B1386+A1387</f>
        <v/>
      </c>
    </row>
    <row r="1388">
      <c r="A1388" t="n">
        <v>75591.25999999999</v>
      </c>
      <c r="B1388">
        <f>+B1387+A1388</f>
        <v/>
      </c>
      <c r="C1388" t="n">
        <v>-2.73</v>
      </c>
    </row>
    <row r="1389">
      <c r="B1389" t="inlineStr">
        <is>
          <t xml:space="preserve">合計 </t>
        </is>
      </c>
      <c r="C1389">
        <f>SUM(C1381:C1388)</f>
        <v/>
      </c>
    </row>
    <row r="1390">
      <c r="B1390" t="inlineStr">
        <is>
          <t>核驗</t>
        </is>
      </c>
      <c r="C1390">
        <f>+B1388-B1380</f>
        <v/>
      </c>
    </row>
    <row r="1392">
      <c r="A1392" t="inlineStr">
        <is>
          <t>2026.06.15當沖</t>
        </is>
      </c>
      <c r="B1392" t="inlineStr">
        <is>
          <t>買</t>
        </is>
      </c>
      <c r="C1392">
        <f>SUMIF(A1381:A1388,"&lt;0")</f>
        <v/>
      </c>
    </row>
    <row r="1393">
      <c r="A1393">
        <f>"SPY " &amp; COUNT(C1381:C1388) * 100 &amp; "股"</f>
        <v/>
      </c>
      <c r="B1393" t="inlineStr">
        <is>
          <t>賣</t>
        </is>
      </c>
      <c r="C1393">
        <f>SUMIF(A1381:A1388,"&gt;0")-A1381-A1382-A1383-A1384</f>
        <v/>
      </c>
    </row>
    <row r="1394">
      <c r="B1394" t="inlineStr">
        <is>
          <t>當沖損益總額</t>
        </is>
      </c>
      <c r="C1394">
        <f>+C1392+C1393</f>
        <v/>
      </c>
    </row>
    <row r="1395">
      <c r="B1395" t="inlineStr">
        <is>
          <t>當沖損益總額 %</t>
        </is>
      </c>
      <c r="C1395">
        <f>C1394/ABS(C1392)</f>
        <v/>
      </c>
    </row>
    <row r="1397">
      <c r="A1397" t="inlineStr">
        <is>
          <t>2026.06.11 留倉 → 2026.06.15 平倉</t>
        </is>
      </c>
      <c r="B1397" t="inlineStr">
        <is>
          <t>買入 100股</t>
        </is>
      </c>
      <c r="C1397">
        <f>C1378</f>
        <v/>
      </c>
    </row>
    <row r="1398">
      <c r="B1398" t="inlineStr">
        <is>
          <t>平倉 100股</t>
        </is>
      </c>
      <c r="C1398">
        <f>A1381</f>
        <v/>
      </c>
    </row>
    <row r="1399">
      <c r="B1399" t="inlineStr">
        <is>
          <t>損益</t>
        </is>
      </c>
      <c r="C1399">
        <f>C1397+C1398</f>
        <v/>
      </c>
    </row>
    <row r="1400">
      <c r="B1400" t="inlineStr">
        <is>
          <t>損益 %</t>
        </is>
      </c>
      <c r="C1400">
        <f>C1399/ABS(C1397)</f>
        <v/>
      </c>
    </row>
    <row r="1402">
      <c r="A1402" t="inlineStr">
        <is>
          <t>2026.06.09 留倉 → 2026.06.15 平倉</t>
        </is>
      </c>
      <c r="B1402" t="inlineStr">
        <is>
          <t>買入 100股</t>
        </is>
      </c>
      <c r="C1402">
        <f>C1377</f>
        <v/>
      </c>
    </row>
    <row r="1403">
      <c r="B1403" t="inlineStr">
        <is>
          <t>平倉 100股</t>
        </is>
      </c>
      <c r="C1403">
        <f>A1382</f>
        <v/>
      </c>
    </row>
    <row r="1404">
      <c r="B1404" t="inlineStr">
        <is>
          <t>損益</t>
        </is>
      </c>
      <c r="C1404">
        <f>C1402+C1403</f>
        <v/>
      </c>
    </row>
    <row r="1405">
      <c r="B1405" t="inlineStr">
        <is>
          <t>損益 %</t>
        </is>
      </c>
      <c r="C1405">
        <f>C1404/ABS(C1402)</f>
        <v/>
      </c>
    </row>
    <row r="1407">
      <c r="A1407" t="inlineStr">
        <is>
          <t>2026.06.05 留倉 → 2026.06.15 平倉</t>
        </is>
      </c>
      <c r="B1407" t="inlineStr">
        <is>
          <t>買入 100股</t>
        </is>
      </c>
      <c r="C1407">
        <f>C1376</f>
        <v/>
      </c>
    </row>
    <row r="1408">
      <c r="B1408" t="inlineStr">
        <is>
          <t>平倉 100股</t>
        </is>
      </c>
      <c r="C1408">
        <f>A1383</f>
        <v/>
      </c>
    </row>
    <row r="1409">
      <c r="B1409" t="inlineStr">
        <is>
          <t>損益</t>
        </is>
      </c>
      <c r="C1409">
        <f>C1407+C1408</f>
        <v/>
      </c>
    </row>
    <row r="1410">
      <c r="B1410" t="inlineStr">
        <is>
          <t>損益 %</t>
        </is>
      </c>
      <c r="C1410">
        <f>C1409/ABS(C1407)</f>
        <v/>
      </c>
    </row>
    <row r="1412">
      <c r="A1412" t="inlineStr">
        <is>
          <t>2026.06.05 留倉 → 2026.06.15 平倉</t>
        </is>
      </c>
      <c r="B1412" t="inlineStr">
        <is>
          <t>買入 100股</t>
        </is>
      </c>
      <c r="C1412">
        <f>C1375</f>
        <v/>
      </c>
    </row>
    <row r="1413">
      <c r="B1413" t="inlineStr">
        <is>
          <t>平倉 100股</t>
        </is>
      </c>
      <c r="C1413">
        <f>A1384</f>
        <v/>
      </c>
    </row>
    <row r="1414">
      <c r="B1414" t="inlineStr">
        <is>
          <t>損益</t>
        </is>
      </c>
      <c r="C1414">
        <f>C1412+C1413</f>
        <v/>
      </c>
    </row>
    <row r="1415">
      <c r="B1415" t="inlineStr">
        <is>
          <t>損益 %</t>
        </is>
      </c>
      <c r="C1415">
        <f>C1414/ABS(C1412)</f>
        <v/>
      </c>
    </row>
    <row r="1418">
      <c r="A1418" t="inlineStr">
        <is>
          <t>2026.06.16</t>
        </is>
      </c>
      <c r="B1418" t="n">
        <v>-188589.21</v>
      </c>
      <c r="C1418" t="inlineStr">
        <is>
          <t>損益</t>
        </is>
      </c>
    </row>
    <row r="1419">
      <c r="A1419" t="n">
        <v>-75458.64999999999</v>
      </c>
      <c r="B1419">
        <f>+B1418+A1419</f>
        <v/>
      </c>
    </row>
    <row r="1420">
      <c r="A1420" t="n">
        <v>-75441</v>
      </c>
      <c r="B1420">
        <f>+B1419+A1420</f>
        <v/>
      </c>
    </row>
    <row r="1421">
      <c r="A1421" t="n">
        <v>75391.42999999999</v>
      </c>
      <c r="B1421">
        <f>+B1420+A1421</f>
        <v/>
      </c>
      <c r="C1421" t="n">
        <v>-49.57</v>
      </c>
    </row>
    <row r="1422">
      <c r="A1422" t="n">
        <v>75384.44</v>
      </c>
      <c r="B1422">
        <f>+B1421+A1422</f>
        <v/>
      </c>
      <c r="C1422" t="n">
        <v>-74.20999999999999</v>
      </c>
    </row>
    <row r="1423">
      <c r="A1423" t="n">
        <v>-75313</v>
      </c>
      <c r="B1423">
        <f>+B1422+A1423</f>
        <v/>
      </c>
    </row>
    <row r="1424">
      <c r="A1424" t="n">
        <v>-75275.5</v>
      </c>
      <c r="B1424">
        <f>+B1423+A1424</f>
        <v/>
      </c>
    </row>
    <row r="1425">
      <c r="A1425" t="n">
        <v>75311.13</v>
      </c>
      <c r="B1425">
        <f>+B1424+A1425</f>
        <v/>
      </c>
      <c r="C1425" t="n">
        <v>35.63</v>
      </c>
    </row>
    <row r="1426">
      <c r="A1426" t="n">
        <v>-75253.5</v>
      </c>
      <c r="B1426">
        <f>+B1425+A1426</f>
        <v/>
      </c>
    </row>
    <row r="1427">
      <c r="A1427" t="n">
        <v>75280.92999999999</v>
      </c>
      <c r="B1427">
        <f>+B1426+A1427</f>
        <v/>
      </c>
      <c r="C1427" t="n">
        <v>27.43</v>
      </c>
    </row>
    <row r="1428">
      <c r="A1428" t="n">
        <v>-75228.5</v>
      </c>
      <c r="B1428">
        <f>+B1427+A1428</f>
        <v/>
      </c>
    </row>
    <row r="1429">
      <c r="A1429" t="n">
        <v>75215.42999999999</v>
      </c>
      <c r="B1429">
        <f>+B1428+A1429</f>
        <v/>
      </c>
      <c r="C1429" t="n">
        <v>-13.07</v>
      </c>
    </row>
    <row r="1430">
      <c r="A1430" t="n">
        <v>-75233</v>
      </c>
      <c r="B1430">
        <f>+B1429+A1430</f>
        <v/>
      </c>
    </row>
    <row r="1431">
      <c r="A1431" t="n">
        <v>75264.44</v>
      </c>
      <c r="B1431">
        <f>+B1430+A1431</f>
        <v/>
      </c>
      <c r="C1431" t="n">
        <v>31.44</v>
      </c>
    </row>
    <row r="1432">
      <c r="B1432" t="inlineStr">
        <is>
          <t xml:space="preserve">合計 </t>
        </is>
      </c>
      <c r="C1432">
        <f>SUM(C1419:C1431)</f>
        <v/>
      </c>
    </row>
    <row r="1433">
      <c r="B1433" t="inlineStr">
        <is>
          <t>核驗</t>
        </is>
      </c>
      <c r="C1433">
        <f>+B1431-B1418-A1423</f>
        <v/>
      </c>
    </row>
    <row r="1435">
      <c r="A1435" t="inlineStr">
        <is>
          <t>2026.06.16當沖</t>
        </is>
      </c>
      <c r="B1435" t="inlineStr">
        <is>
          <t>買</t>
        </is>
      </c>
      <c r="C1435" s="80">
        <f>SUMIF(A1419:A1431,"&lt;0")-A1423</f>
        <v/>
      </c>
      <c r="D1435" s="80" t="n"/>
    </row>
    <row r="1436">
      <c r="A1436">
        <f>"SPY " &amp; COUNT(C1419:C1431) * 100 &amp; "股"</f>
        <v/>
      </c>
      <c r="B1436" t="inlineStr">
        <is>
          <t>賣</t>
        </is>
      </c>
      <c r="C1436" s="80">
        <f>SUMIF(A1419:A1431,"&gt;0")</f>
        <v/>
      </c>
      <c r="D1436" s="80" t="n"/>
    </row>
    <row r="1437">
      <c r="B1437" t="inlineStr">
        <is>
          <t>當日損益</t>
        </is>
      </c>
      <c r="C1437" s="80">
        <f>+C1435+C1436</f>
        <v/>
      </c>
      <c r="D1437" s="80" t="n"/>
    </row>
    <row r="1438">
      <c r="B1438" t="inlineStr">
        <is>
          <t>當日損益 %</t>
        </is>
      </c>
      <c r="C1438" s="38">
        <f>C1437/ABS(C1435)</f>
        <v/>
      </c>
    </row>
    <row r="1440">
      <c r="A1440" t="inlineStr">
        <is>
          <t>累積留倉   100股</t>
        </is>
      </c>
    </row>
    <row r="1441">
      <c r="A1441" t="inlineStr">
        <is>
          <t>2026.06.16 留倉</t>
        </is>
      </c>
      <c r="B1441" t="inlineStr">
        <is>
          <t>買 100股</t>
        </is>
      </c>
      <c r="C1441" s="80" t="n">
        <v>-75313</v>
      </c>
    </row>
    <row r="1443">
      <c r="A1443" t="inlineStr">
        <is>
          <t>2026.06.17</t>
        </is>
      </c>
      <c r="B1443" t="n">
        <v>-263944.56</v>
      </c>
      <c r="C1443" t="inlineStr">
        <is>
          <t>損益</t>
        </is>
      </c>
    </row>
    <row r="1444">
      <c r="A1444" t="n">
        <v>-75048.06</v>
      </c>
      <c r="B1444">
        <f>+B1443+A1444</f>
        <v/>
      </c>
    </row>
    <row r="1445">
      <c r="A1445" t="n">
        <v>75072.92999999999</v>
      </c>
      <c r="B1445">
        <f>+B1444+A1445</f>
        <v/>
      </c>
      <c r="C1445" t="n">
        <v>24.87</v>
      </c>
    </row>
    <row r="1446">
      <c r="A1446" t="n">
        <v>-75136</v>
      </c>
      <c r="B1446">
        <f>+B1445+A1446</f>
        <v/>
      </c>
    </row>
    <row r="1447">
      <c r="A1447" t="n">
        <v>75147.42999999999</v>
      </c>
      <c r="B1447">
        <f>+B1446+A1447</f>
        <v/>
      </c>
      <c r="C1447" t="n">
        <v>11.43</v>
      </c>
    </row>
    <row r="1448">
      <c r="A1448" t="n">
        <v>-75112.17999999999</v>
      </c>
      <c r="B1448">
        <f>+B1447+A1448</f>
        <v/>
      </c>
    </row>
    <row r="1449">
      <c r="A1449" t="n">
        <v>74974.44</v>
      </c>
      <c r="B1449">
        <f>+B1448+A1449</f>
        <v/>
      </c>
      <c r="C1449" t="n">
        <v>-137.74</v>
      </c>
    </row>
    <row r="1450">
      <c r="A1450" t="n">
        <v>-74993.99000000001</v>
      </c>
      <c r="B1450">
        <f>+B1449+A1450</f>
        <v/>
      </c>
    </row>
    <row r="1451">
      <c r="A1451" t="n">
        <v>75019.14</v>
      </c>
      <c r="B1451">
        <f>+B1450+A1451</f>
        <v/>
      </c>
      <c r="C1451" t="n">
        <v>25.15</v>
      </c>
    </row>
    <row r="1452">
      <c r="A1452" t="n">
        <v>-75096</v>
      </c>
      <c r="B1452">
        <f>+B1451+A1452</f>
        <v/>
      </c>
    </row>
    <row r="1453">
      <c r="A1453" t="n">
        <v>75091.42999999999</v>
      </c>
      <c r="B1453">
        <f>+B1452+A1453</f>
        <v/>
      </c>
      <c r="C1453" t="n">
        <v>-4.57</v>
      </c>
    </row>
    <row r="1454">
      <c r="A1454" t="n">
        <v>-75080</v>
      </c>
      <c r="B1454">
        <f>+B1453+A1454</f>
        <v/>
      </c>
    </row>
    <row r="1455">
      <c r="A1455" t="n">
        <v>75090.92999999999</v>
      </c>
      <c r="B1455">
        <f>+B1454+A1455</f>
        <v/>
      </c>
      <c r="C1455" t="n">
        <v>10.93</v>
      </c>
    </row>
    <row r="1456">
      <c r="A1456" t="n">
        <v>-75171.5</v>
      </c>
      <c r="B1456">
        <f>+B1455+A1456</f>
        <v/>
      </c>
    </row>
    <row r="1457">
      <c r="A1457" t="n">
        <v>75202.69</v>
      </c>
      <c r="B1457">
        <f>+B1456+A1457</f>
        <v/>
      </c>
      <c r="C1457" t="n">
        <v>31.19</v>
      </c>
    </row>
    <row r="1458">
      <c r="A1458" t="n">
        <v>-75181</v>
      </c>
      <c r="B1458">
        <f>+B1457+A1458</f>
        <v/>
      </c>
    </row>
    <row r="1459">
      <c r="A1459" t="n">
        <v>75179.44</v>
      </c>
      <c r="B1459">
        <f>+B1458+A1459</f>
        <v/>
      </c>
      <c r="C1459" t="n">
        <v>-1.56</v>
      </c>
    </row>
    <row r="1460">
      <c r="A1460" t="n">
        <v>-75056.89999999999</v>
      </c>
      <c r="B1460">
        <f>+B1459+A1460</f>
        <v/>
      </c>
    </row>
    <row r="1461">
      <c r="A1461" t="n">
        <v>75055.13</v>
      </c>
      <c r="B1461">
        <f>+B1460+A1461</f>
        <v/>
      </c>
      <c r="C1461" t="n">
        <v>-1.77</v>
      </c>
    </row>
    <row r="1462">
      <c r="A1462" t="n">
        <v>-75041.89999999999</v>
      </c>
      <c r="B1462">
        <f>+B1461+A1462</f>
        <v/>
      </c>
    </row>
    <row r="1463">
      <c r="A1463" t="n">
        <v>75072.92999999999</v>
      </c>
      <c r="B1463">
        <f>+B1462+A1463</f>
        <v/>
      </c>
      <c r="C1463" t="n">
        <v>31.03</v>
      </c>
    </row>
    <row r="1464">
      <c r="A1464" t="n">
        <v>-75086.10000000001</v>
      </c>
      <c r="B1464">
        <f>+B1463+A1464</f>
        <v/>
      </c>
    </row>
    <row r="1465">
      <c r="A1465" t="n">
        <v>75092.42999999999</v>
      </c>
      <c r="B1465">
        <f>+B1464+A1465</f>
        <v/>
      </c>
      <c r="C1465" t="n">
        <v>6.33</v>
      </c>
    </row>
    <row r="1466">
      <c r="A1466" t="n">
        <v>-75088.3</v>
      </c>
      <c r="B1466">
        <f>+B1465+A1466</f>
        <v/>
      </c>
    </row>
    <row r="1467">
      <c r="A1467" t="n">
        <v>75025.94</v>
      </c>
      <c r="B1467">
        <f>+B1466+A1467</f>
        <v/>
      </c>
      <c r="C1467" t="n">
        <v>-62.36</v>
      </c>
    </row>
    <row r="1468">
      <c r="A1468" t="n">
        <v>-74998.99000000001</v>
      </c>
      <c r="B1468">
        <f>+B1467+A1468</f>
        <v/>
      </c>
    </row>
    <row r="1469">
      <c r="A1469" t="n">
        <v>75023.42999999999</v>
      </c>
      <c r="B1469">
        <f>+B1468+A1469</f>
        <v/>
      </c>
      <c r="C1469" t="n">
        <v>24.44</v>
      </c>
    </row>
    <row r="1470">
      <c r="A1470" t="n">
        <v>-75000.5</v>
      </c>
      <c r="B1470">
        <f>+B1469+A1470</f>
        <v/>
      </c>
    </row>
    <row r="1471">
      <c r="A1471" t="n">
        <v>75015.92999999999</v>
      </c>
      <c r="B1471">
        <f>+B1470+A1471</f>
        <v/>
      </c>
      <c r="C1471" t="n">
        <v>15.43</v>
      </c>
    </row>
    <row r="1472">
      <c r="A1472" t="n">
        <v>-75000.5</v>
      </c>
      <c r="B1472">
        <f>+B1471+A1472</f>
        <v/>
      </c>
    </row>
    <row r="1473">
      <c r="A1473" t="n">
        <v>74945.92999999999</v>
      </c>
      <c r="B1473">
        <f>+B1472+A1473</f>
        <v/>
      </c>
      <c r="C1473" t="n">
        <v>-54.57</v>
      </c>
    </row>
    <row r="1474">
      <c r="B1474" t="inlineStr">
        <is>
          <t xml:space="preserve">合計 </t>
        </is>
      </c>
      <c r="C1474">
        <f>SUM(C1444:C1473)</f>
        <v/>
      </c>
    </row>
    <row r="1475">
      <c r="B1475" t="inlineStr">
        <is>
          <t>核驗</t>
        </is>
      </c>
      <c r="C1475">
        <f>+B1473-B1443</f>
        <v/>
      </c>
    </row>
    <row r="1477">
      <c r="A1477" t="inlineStr">
        <is>
          <t>2026.06.17當沖</t>
        </is>
      </c>
      <c r="B1477" t="inlineStr">
        <is>
          <t>買</t>
        </is>
      </c>
      <c r="C1477" s="80">
        <f>SUMIF(A1444:A1473,"&lt;0")</f>
        <v/>
      </c>
    </row>
    <row r="1478">
      <c r="A1478">
        <f>"SPY " &amp; COUNT(C1444:C1473) * 100 &amp; "股"</f>
        <v/>
      </c>
      <c r="B1478" t="inlineStr">
        <is>
          <t>賣</t>
        </is>
      </c>
      <c r="C1478" s="80">
        <f>SUMIF(A1444:A1473,"&gt;0")</f>
        <v/>
      </c>
    </row>
    <row r="1479">
      <c r="B1479" t="inlineStr">
        <is>
          <t>當日損益</t>
        </is>
      </c>
      <c r="C1479" s="80">
        <f>+C1477+C1478</f>
        <v/>
      </c>
    </row>
    <row r="1480">
      <c r="B1480" t="inlineStr">
        <is>
          <t>當日損益 %</t>
        </is>
      </c>
      <c r="C1480" s="45">
        <f>C1479/ABS(C1477)</f>
        <v/>
      </c>
    </row>
    <row r="1483">
      <c r="A1483" t="inlineStr">
        <is>
          <t>2026.06.18</t>
        </is>
      </c>
      <c r="B1483" t="n">
        <v>37041.4</v>
      </c>
      <c r="C1483" t="inlineStr">
        <is>
          <t>損益</t>
        </is>
      </c>
    </row>
    <row r="1484">
      <c r="A1484" t="n">
        <v>-74487.5</v>
      </c>
      <c r="B1484">
        <f>+B1483+A1484</f>
        <v/>
      </c>
    </row>
    <row r="1485">
      <c r="A1485" t="n">
        <v>74544.73</v>
      </c>
      <c r="B1485">
        <f>+B1484+A1485</f>
        <v/>
      </c>
      <c r="C1485" t="n">
        <v>57.23</v>
      </c>
    </row>
    <row r="1486">
      <c r="A1486" t="n">
        <v>-74687</v>
      </c>
      <c r="B1486">
        <f>+B1485+A1486</f>
        <v/>
      </c>
    </row>
    <row r="1487">
      <c r="A1487" t="n">
        <v>74721.44</v>
      </c>
      <c r="B1487">
        <f>+B1486+A1487</f>
        <v/>
      </c>
      <c r="C1487" t="n">
        <v>34.44</v>
      </c>
    </row>
    <row r="1488">
      <c r="A1488" t="n">
        <v>-74676.96000000001</v>
      </c>
      <c r="B1488">
        <f>+B1487+A1488</f>
        <v/>
      </c>
    </row>
    <row r="1489">
      <c r="A1489" t="n">
        <v>74667.45</v>
      </c>
      <c r="B1489">
        <f>+B1488+A1489</f>
        <v/>
      </c>
      <c r="C1489" t="n">
        <v>-9.51</v>
      </c>
    </row>
    <row r="1490">
      <c r="A1490" t="n">
        <v>-74634.5</v>
      </c>
      <c r="B1490">
        <f>+B1489+A1490</f>
        <v/>
      </c>
    </row>
    <row r="1491">
      <c r="A1491" t="n">
        <v>74598.94</v>
      </c>
      <c r="B1491">
        <f>+B1490+A1491</f>
        <v/>
      </c>
      <c r="C1491" t="n">
        <v>-35.56</v>
      </c>
    </row>
    <row r="1492">
      <c r="A1492" t="n">
        <v>-74566.89999999999</v>
      </c>
      <c r="B1492">
        <f>+B1491+A1492</f>
        <v/>
      </c>
    </row>
    <row r="1493">
      <c r="A1493" t="n">
        <v>74569.44</v>
      </c>
      <c r="B1493">
        <f>+B1492+A1493</f>
        <v/>
      </c>
      <c r="C1493" t="n">
        <v>2.54</v>
      </c>
    </row>
    <row r="1494">
      <c r="A1494" t="n">
        <v>-74577</v>
      </c>
      <c r="B1494">
        <f>+B1493+A1494</f>
        <v/>
      </c>
    </row>
    <row r="1495">
      <c r="A1495" t="n">
        <v>74602.94</v>
      </c>
      <c r="B1495">
        <f>+B1494+A1495</f>
        <v/>
      </c>
      <c r="C1495" t="n">
        <v>25.94</v>
      </c>
    </row>
    <row r="1496">
      <c r="A1496" t="n">
        <v>-74673.71000000001</v>
      </c>
      <c r="B1496">
        <f>+B1495+A1496</f>
        <v/>
      </c>
    </row>
    <row r="1497">
      <c r="A1497" t="n">
        <v>74682.92</v>
      </c>
      <c r="B1497">
        <f>+B1496+A1497</f>
        <v/>
      </c>
      <c r="C1497" t="n">
        <v>9.210000000000001</v>
      </c>
    </row>
    <row r="1498">
      <c r="A1498" t="n">
        <v>-74656.03999999999</v>
      </c>
      <c r="B1498">
        <f>+B1497+A1498</f>
        <v/>
      </c>
    </row>
    <row r="1499">
      <c r="A1499" t="n">
        <v>74662.44</v>
      </c>
      <c r="B1499">
        <f>+B1498+A1499</f>
        <v/>
      </c>
      <c r="C1499" t="n">
        <v>6.4</v>
      </c>
    </row>
    <row r="1500">
      <c r="B1500" t="inlineStr">
        <is>
          <t xml:space="preserve">合計 </t>
        </is>
      </c>
      <c r="C1500">
        <f>SUM(C1484:C1499)</f>
        <v/>
      </c>
    </row>
    <row r="1501">
      <c r="B1501" t="inlineStr">
        <is>
          <t>核驗</t>
        </is>
      </c>
      <c r="C1501">
        <f>+B1499-B1483</f>
        <v/>
      </c>
    </row>
    <row r="1503">
      <c r="A1503" t="inlineStr">
        <is>
          <t>2026.06.18當沖</t>
        </is>
      </c>
      <c r="B1503" t="inlineStr">
        <is>
          <t>買</t>
        </is>
      </c>
      <c r="C1503" s="80">
        <f>SUMIF(A1484:A1499,"&lt;0")</f>
        <v/>
      </c>
    </row>
    <row r="1504">
      <c r="A1504">
        <f>"SPY " &amp; COUNT(C1484:C1499) * 100 &amp; "股"</f>
        <v/>
      </c>
      <c r="B1504" t="inlineStr">
        <is>
          <t>賣</t>
        </is>
      </c>
      <c r="C1504" s="80">
        <f>SUMIF(A1484:A1499,"&gt;0")</f>
        <v/>
      </c>
    </row>
    <row r="1505">
      <c r="B1505" t="inlineStr">
        <is>
          <t>當日損益</t>
        </is>
      </c>
      <c r="C1505" s="80">
        <f>+C1503+C1504</f>
        <v/>
      </c>
    </row>
    <row r="1506">
      <c r="B1506" t="inlineStr">
        <is>
          <t>當日損益 %</t>
        </is>
      </c>
      <c r="C1506" s="45">
        <f>C1505/ABS(C1503)</f>
        <v/>
      </c>
    </row>
    <row r="1509">
      <c r="A1509" t="inlineStr">
        <is>
          <t>2026.06.22</t>
        </is>
      </c>
      <c r="B1509" t="n">
        <v>36959.65</v>
      </c>
      <c r="C1509" t="inlineStr">
        <is>
          <t>損益</t>
        </is>
      </c>
    </row>
    <row r="1510">
      <c r="A1510" t="n">
        <v>74907.03999999999</v>
      </c>
      <c r="B1510">
        <f>+B1509+A1510</f>
        <v/>
      </c>
    </row>
    <row r="1511">
      <c r="A1511" t="n">
        <v>-74906.5</v>
      </c>
      <c r="B1511">
        <f>+B1510+A1511</f>
        <v/>
      </c>
      <c r="C1511" t="n">
        <v>0.54</v>
      </c>
    </row>
    <row r="1512">
      <c r="A1512" t="n">
        <v>-74976</v>
      </c>
      <c r="B1512">
        <f>+B1511+A1512</f>
        <v/>
      </c>
    </row>
    <row r="1513">
      <c r="A1513" t="n">
        <v>74990.45</v>
      </c>
      <c r="B1513">
        <f>+B1512+A1513</f>
        <v/>
      </c>
      <c r="C1513" t="n">
        <v>14.45</v>
      </c>
    </row>
    <row r="1514">
      <c r="A1514" t="n">
        <v>-74486.77</v>
      </c>
      <c r="B1514">
        <f>+B1513+A1514</f>
        <v/>
      </c>
    </row>
    <row r="1515">
      <c r="A1515" t="n">
        <v>74368.45</v>
      </c>
      <c r="B1515">
        <f>+B1514+A1515</f>
        <v/>
      </c>
      <c r="C1515" t="n">
        <v>-118.32</v>
      </c>
    </row>
    <row r="1516">
      <c r="A1516" t="n">
        <v>-74476.85000000001</v>
      </c>
      <c r="B1516">
        <f>+B1515+A1516</f>
        <v/>
      </c>
    </row>
    <row r="1517">
      <c r="A1517" t="n">
        <v>74473.95</v>
      </c>
      <c r="B1517">
        <f>+B1516+A1517</f>
        <v/>
      </c>
      <c r="C1517" t="n">
        <v>-2.9</v>
      </c>
    </row>
    <row r="1518">
      <c r="A1518" t="n">
        <v>-74443</v>
      </c>
      <c r="B1518">
        <f>+B1517+A1518</f>
        <v/>
      </c>
    </row>
    <row r="1519">
      <c r="A1519" t="n">
        <v>74441.46000000001</v>
      </c>
      <c r="B1519">
        <f>+B1518+A1519</f>
        <v/>
      </c>
      <c r="C1519" t="n">
        <v>-1.54</v>
      </c>
    </row>
    <row r="1520">
      <c r="A1520" t="n">
        <v>-74417.5</v>
      </c>
      <c r="B1520">
        <f>+B1519+A1520</f>
        <v/>
      </c>
    </row>
    <row r="1521">
      <c r="A1521" t="n">
        <v>74488.53</v>
      </c>
      <c r="B1521">
        <f>+B1520+A1521</f>
        <v/>
      </c>
      <c r="C1521" t="n">
        <v>71.03</v>
      </c>
    </row>
    <row r="1522">
      <c r="A1522" t="n">
        <v>-74433.5</v>
      </c>
      <c r="B1522">
        <f>+B1521+A1522</f>
        <v/>
      </c>
    </row>
    <row r="1523">
      <c r="A1523" t="n">
        <v>74496.45</v>
      </c>
      <c r="B1523">
        <f>+B1522+A1523</f>
        <v/>
      </c>
      <c r="C1523" t="n">
        <v>62.95</v>
      </c>
    </row>
    <row r="1524">
      <c r="B1524" t="inlineStr">
        <is>
          <t xml:space="preserve">合計 </t>
        </is>
      </c>
      <c r="C1524">
        <f>SUM(C1510:C1523)</f>
        <v/>
      </c>
    </row>
    <row r="1525">
      <c r="B1525" t="inlineStr">
        <is>
          <t>核驗</t>
        </is>
      </c>
      <c r="C1525">
        <f>+B1523-B1509</f>
        <v/>
      </c>
    </row>
    <row r="1527">
      <c r="A1527" t="inlineStr">
        <is>
          <t>2026.06.22當沖</t>
        </is>
      </c>
      <c r="B1527" t="inlineStr">
        <is>
          <t>買</t>
        </is>
      </c>
      <c r="C1527" s="80">
        <f>SUMIF(A1510:A1523,"&lt;0")</f>
        <v/>
      </c>
    </row>
    <row r="1528">
      <c r="A1528">
        <f>"SPY " &amp; COUNT(C1510:C1523) * 100 &amp; "股"</f>
        <v/>
      </c>
      <c r="B1528" t="inlineStr">
        <is>
          <t>賣</t>
        </is>
      </c>
      <c r="C1528" s="80">
        <f>SUMIF(A1510:A1523,"&gt;0")</f>
        <v/>
      </c>
    </row>
    <row r="1529">
      <c r="B1529" t="inlineStr">
        <is>
          <t>當日損益</t>
        </is>
      </c>
      <c r="C1529" s="80">
        <f>+C1527+C1528</f>
        <v/>
      </c>
    </row>
    <row r="1530">
      <c r="B1530" t="inlineStr">
        <is>
          <t>當日損益 %</t>
        </is>
      </c>
      <c r="C1530" s="45">
        <f>C1529/ABS(C1527)</f>
        <v/>
      </c>
    </row>
    <row r="1533">
      <c r="A1533" t="inlineStr">
        <is>
          <t>2026.06.23</t>
        </is>
      </c>
      <c r="B1533" t="n">
        <v>37050.34</v>
      </c>
      <c r="C1533" t="inlineStr">
        <is>
          <t>損益</t>
        </is>
      </c>
    </row>
    <row r="1534">
      <c r="A1534" t="n">
        <v>-73798.78</v>
      </c>
      <c r="B1534">
        <f>+B1533+A1534</f>
        <v/>
      </c>
    </row>
    <row r="1535">
      <c r="A1535" t="n">
        <v>73815.34</v>
      </c>
      <c r="B1535">
        <f>+B1534+A1535</f>
        <v/>
      </c>
      <c r="C1535" t="n">
        <v>16.56</v>
      </c>
    </row>
    <row r="1536">
      <c r="A1536" t="n">
        <v>-73872.3</v>
      </c>
      <c r="B1536">
        <f>+B1535+A1536</f>
        <v/>
      </c>
    </row>
    <row r="1537">
      <c r="A1537" t="n">
        <v>73885.96000000001</v>
      </c>
      <c r="B1537">
        <f>+B1536+A1537</f>
        <v/>
      </c>
      <c r="C1537" t="n">
        <v>13.66</v>
      </c>
    </row>
    <row r="1538">
      <c r="A1538" t="n">
        <v>-73842.88</v>
      </c>
      <c r="B1538">
        <f>+B1537+A1538</f>
        <v/>
      </c>
    </row>
    <row r="1539">
      <c r="A1539" t="n">
        <v>73831.5</v>
      </c>
      <c r="B1539">
        <f>+B1538+A1539</f>
        <v/>
      </c>
      <c r="C1539" t="n">
        <v>-11.38</v>
      </c>
    </row>
    <row r="1540">
      <c r="A1540" t="n">
        <v>-73844.73</v>
      </c>
      <c r="B1540">
        <f>+B1539+A1540</f>
        <v/>
      </c>
    </row>
    <row r="1541">
      <c r="A1541" t="n">
        <v>73740.47</v>
      </c>
      <c r="B1541">
        <f>+B1540+A1541</f>
        <v/>
      </c>
      <c r="C1541" t="n">
        <v>-104.26</v>
      </c>
    </row>
    <row r="1542">
      <c r="A1542" t="n">
        <v>-73695</v>
      </c>
      <c r="B1542">
        <f>+B1541+A1542</f>
        <v/>
      </c>
    </row>
    <row r="1543">
      <c r="A1543" t="n">
        <v>-73590.5</v>
      </c>
      <c r="B1543">
        <f>+B1542+A1543</f>
        <v/>
      </c>
    </row>
    <row r="1544">
      <c r="A1544" t="n">
        <v>73530.67999999999</v>
      </c>
      <c r="B1544">
        <f>+B1543+A1544</f>
        <v/>
      </c>
      <c r="C1544" t="n">
        <v>-59.82</v>
      </c>
    </row>
    <row r="1545">
      <c r="A1545" t="n">
        <v>73738.91</v>
      </c>
      <c r="B1545">
        <f>+B1544+A1545</f>
        <v/>
      </c>
      <c r="C1545" t="n">
        <v>43.91</v>
      </c>
    </row>
    <row r="1546">
      <c r="A1546" t="n">
        <v>-73784.99000000001</v>
      </c>
      <c r="B1546">
        <f>+B1545+A1546</f>
        <v/>
      </c>
    </row>
    <row r="1547">
      <c r="A1547" t="n">
        <v>73781.89999999999</v>
      </c>
      <c r="B1547">
        <f>+B1546+A1547</f>
        <v/>
      </c>
      <c r="C1547" t="n">
        <v>-3.09</v>
      </c>
    </row>
    <row r="1548">
      <c r="A1548" t="n">
        <v>-73532.59</v>
      </c>
      <c r="B1548">
        <f>+B1547+A1548</f>
        <v/>
      </c>
    </row>
    <row r="1549">
      <c r="A1549" t="n">
        <v>73499.47</v>
      </c>
      <c r="B1549">
        <f>+B1548+A1549</f>
        <v/>
      </c>
      <c r="C1549" t="n">
        <v>-33.12</v>
      </c>
    </row>
    <row r="1550">
      <c r="B1550" t="inlineStr">
        <is>
          <t xml:space="preserve">合計 </t>
        </is>
      </c>
      <c r="C1550">
        <f>SUM(C1534:C1549)</f>
        <v/>
      </c>
    </row>
    <row r="1551">
      <c r="B1551" t="inlineStr">
        <is>
          <t>核驗</t>
        </is>
      </c>
      <c r="C1551">
        <f>+B1549-B1533</f>
        <v/>
      </c>
    </row>
    <row r="1553">
      <c r="A1553" t="inlineStr">
        <is>
          <t>2026.06.23當沖</t>
        </is>
      </c>
      <c r="B1553" t="inlineStr">
        <is>
          <t>買</t>
        </is>
      </c>
      <c r="C1553" s="80">
        <f>SUMIF(A1534:A1549,"&lt;0")</f>
        <v/>
      </c>
    </row>
    <row r="1554">
      <c r="A1554">
        <f>"SPY " &amp; COUNT(C1534:C1549) * 100 &amp; "股"</f>
        <v/>
      </c>
      <c r="B1554" t="inlineStr">
        <is>
          <t>賣</t>
        </is>
      </c>
      <c r="C1554" s="80">
        <f>SUMIF(A1534:A1549,"&gt;0")</f>
        <v/>
      </c>
    </row>
    <row r="1555">
      <c r="B1555" t="inlineStr">
        <is>
          <t>當日損益</t>
        </is>
      </c>
      <c r="C1555" s="80">
        <f>+C1553+C1554</f>
        <v/>
      </c>
    </row>
    <row r="1556">
      <c r="B1556" t="inlineStr">
        <is>
          <t>當日損益 %</t>
        </is>
      </c>
      <c r="C1556" s="45">
        <f>C1555/ABS(C1553)</f>
        <v/>
      </c>
    </row>
    <row r="1559">
      <c r="A1559" t="inlineStr">
        <is>
          <t>2026.06.24</t>
        </is>
      </c>
      <c r="B1559" t="n">
        <v>37076.55</v>
      </c>
      <c r="C1559" t="inlineStr">
        <is>
          <t>損益</t>
        </is>
      </c>
    </row>
    <row r="1560">
      <c r="A1560" t="n">
        <v>73579.52</v>
      </c>
      <c r="B1560">
        <f>+B1559+A1560</f>
        <v/>
      </c>
    </row>
    <row r="1561">
      <c r="A1561" t="n">
        <v>-73487</v>
      </c>
      <c r="B1561">
        <f>+B1560+A1561</f>
        <v/>
      </c>
      <c r="C1561" t="n">
        <v>92.52</v>
      </c>
    </row>
    <row r="1562">
      <c r="A1562" t="n">
        <v>-73451</v>
      </c>
      <c r="B1562">
        <f>+B1561+A1562</f>
        <v/>
      </c>
    </row>
    <row r="1563">
      <c r="A1563" t="n">
        <v>73489.48</v>
      </c>
      <c r="B1563">
        <f>+B1562+A1563</f>
        <v/>
      </c>
      <c r="C1563" t="n">
        <v>38.48</v>
      </c>
    </row>
    <row r="1564">
      <c r="A1564" t="n">
        <v>-73610.5</v>
      </c>
      <c r="B1564">
        <f>+B1563+A1564</f>
        <v/>
      </c>
    </row>
    <row r="1565">
      <c r="A1565" t="n">
        <v>73654.47</v>
      </c>
      <c r="B1565">
        <f>+B1564+A1565</f>
        <v/>
      </c>
      <c r="C1565" t="n">
        <v>43.97</v>
      </c>
    </row>
    <row r="1566">
      <c r="A1566" t="n">
        <v>73746.96000000001</v>
      </c>
      <c r="B1566">
        <f>+B1565+A1566</f>
        <v/>
      </c>
    </row>
    <row r="1567">
      <c r="A1567" t="n">
        <v>-73749.75999999999</v>
      </c>
      <c r="B1567">
        <f>+B1566+A1567</f>
        <v/>
      </c>
      <c r="C1567" t="n">
        <v>-2.8</v>
      </c>
    </row>
    <row r="1568">
      <c r="A1568" t="n">
        <v>-73598.98</v>
      </c>
      <c r="B1568">
        <f>+B1567+A1568</f>
        <v/>
      </c>
    </row>
    <row r="1569">
      <c r="A1569" t="n">
        <v>73617.39999999999</v>
      </c>
      <c r="B1569">
        <f>+B1568+A1569</f>
        <v/>
      </c>
      <c r="C1569" t="n">
        <v>18.42</v>
      </c>
    </row>
    <row r="1570">
      <c r="A1570" t="n">
        <v>-73937</v>
      </c>
      <c r="B1570">
        <f>+B1569+A1570</f>
        <v/>
      </c>
    </row>
    <row r="1571">
      <c r="A1571" t="n">
        <v>73928.78</v>
      </c>
      <c r="B1571">
        <f>+B1570+A1571</f>
        <v/>
      </c>
      <c r="C1571" t="n">
        <v>-8.220000000000001</v>
      </c>
    </row>
    <row r="1572">
      <c r="A1572" t="n">
        <v>73867.46000000001</v>
      </c>
      <c r="B1572">
        <f>+B1571+A1572</f>
        <v/>
      </c>
    </row>
    <row r="1573">
      <c r="A1573" t="n">
        <v>-73917.5</v>
      </c>
      <c r="B1573">
        <f>+B1572+A1573</f>
        <v/>
      </c>
      <c r="C1573" t="n">
        <v>-50.04</v>
      </c>
    </row>
    <row r="1574">
      <c r="A1574" t="n">
        <v>73791.48</v>
      </c>
      <c r="B1574">
        <f>+B1573+A1574</f>
        <v/>
      </c>
    </row>
    <row r="1575">
      <c r="A1575" t="n">
        <v>-73806.92</v>
      </c>
      <c r="B1575">
        <f>+B1574+A1575</f>
        <v/>
      </c>
      <c r="C1575" t="n">
        <v>-15.44</v>
      </c>
    </row>
    <row r="1576">
      <c r="A1576" t="n">
        <v>-73860</v>
      </c>
      <c r="B1576">
        <f>+B1575+A1576</f>
        <v/>
      </c>
    </row>
    <row r="1577">
      <c r="A1577" t="n">
        <v>73888.56</v>
      </c>
      <c r="B1577">
        <f>+B1576+A1577</f>
        <v/>
      </c>
      <c r="C1577" t="n">
        <v>28.56</v>
      </c>
    </row>
    <row r="1578">
      <c r="A1578" t="n">
        <v>-73819</v>
      </c>
      <c r="B1578">
        <f>+B1577+A1578</f>
        <v/>
      </c>
    </row>
    <row r="1579">
      <c r="A1579" t="n">
        <v>73775.46000000001</v>
      </c>
      <c r="B1579">
        <f>+B1578+A1579</f>
        <v/>
      </c>
      <c r="C1579" t="n">
        <v>-43.54</v>
      </c>
    </row>
    <row r="1580">
      <c r="A1580" t="n">
        <v>-15578</v>
      </c>
      <c r="B1580">
        <f>+B1579+A1580</f>
        <v/>
      </c>
    </row>
    <row r="1581">
      <c r="A1581" t="n">
        <v>15691.16</v>
      </c>
      <c r="B1581">
        <f>+B1580+A1581</f>
        <v/>
      </c>
      <c r="C1581" t="n">
        <v>113.16</v>
      </c>
    </row>
    <row r="1582">
      <c r="A1582" t="n">
        <v>-15599</v>
      </c>
      <c r="B1582">
        <f>+B1581+A1582</f>
        <v/>
      </c>
    </row>
    <row r="1583">
      <c r="A1583" t="n">
        <v>15617.16</v>
      </c>
      <c r="B1583">
        <f>+B1582+A1583</f>
        <v/>
      </c>
      <c r="C1583" t="n">
        <v>18.16</v>
      </c>
    </row>
    <row r="1584">
      <c r="B1584" t="inlineStr">
        <is>
          <t xml:space="preserve">合計 </t>
        </is>
      </c>
      <c r="C1584">
        <f>SUM(C1560:C1583)</f>
        <v/>
      </c>
    </row>
    <row r="1585">
      <c r="B1585" t="inlineStr">
        <is>
          <t>核驗</t>
        </is>
      </c>
      <c r="C1585">
        <f>+B1583-B1559</f>
        <v/>
      </c>
    </row>
    <row r="1587">
      <c r="A1587" t="inlineStr">
        <is>
          <t>2026.06.24當沖</t>
        </is>
      </c>
      <c r="B1587" t="inlineStr">
        <is>
          <t>買</t>
        </is>
      </c>
      <c r="C1587" s="80">
        <f>SUMIF(A1560:A1583,"&lt;0")-C1592</f>
        <v/>
      </c>
    </row>
    <row r="1588">
      <c r="A1588">
        <f>"SPY " &amp; (COUNT(C1560:C1583)-COUNT(C1580:C1583)) * 100 &amp; "股"</f>
        <v/>
      </c>
      <c r="B1588" t="inlineStr">
        <is>
          <t>賣</t>
        </is>
      </c>
      <c r="C1588" s="80">
        <f>SUMIF(A1560:A1583,"&gt;0")-C1593</f>
        <v/>
      </c>
    </row>
    <row r="1589">
      <c r="B1589" t="inlineStr">
        <is>
          <t>當日損益</t>
        </is>
      </c>
      <c r="C1589" s="80">
        <f>+C1587+C1588</f>
        <v/>
      </c>
    </row>
    <row r="1590">
      <c r="B1590" t="inlineStr">
        <is>
          <t>當日損益 %</t>
        </is>
      </c>
      <c r="C1590" s="45">
        <f>C1589/ABS(C1587)</f>
        <v/>
      </c>
    </row>
    <row r="1592">
      <c r="A1592" t="inlineStr">
        <is>
          <t>2026.06.24 當沖</t>
        </is>
      </c>
      <c r="B1592" t="inlineStr">
        <is>
          <t>買</t>
        </is>
      </c>
      <c r="C1592" s="80">
        <f>SUMIF(A1580:A1583,"&lt;0")</f>
        <v/>
      </c>
    </row>
    <row r="1593">
      <c r="A1593">
        <f>"SPCX " &amp; COUNT(C1580:C1583) * 100 &amp; "股"</f>
        <v/>
      </c>
      <c r="B1593" t="inlineStr">
        <is>
          <t>賣</t>
        </is>
      </c>
      <c r="C1593" s="80">
        <f>SUMIF(A1580:A1583,"&gt;0")</f>
        <v/>
      </c>
    </row>
    <row r="1594">
      <c r="B1594" t="inlineStr">
        <is>
          <t>當日損益</t>
        </is>
      </c>
      <c r="C1594" s="80">
        <f>+C1592+C1593</f>
        <v/>
      </c>
    </row>
    <row r="1595">
      <c r="B1595" t="inlineStr">
        <is>
          <t>當日損益 %</t>
        </is>
      </c>
      <c r="C1595" s="45">
        <f>C1594/ABS(C1592)</f>
        <v/>
      </c>
    </row>
    <row r="1598">
      <c r="A1598" t="inlineStr">
        <is>
          <t>2026.06.25</t>
        </is>
      </c>
      <c r="B1598" t="n">
        <v>36939.01</v>
      </c>
      <c r="C1598" t="inlineStr">
        <is>
          <t>損益</t>
        </is>
      </c>
    </row>
    <row r="1599">
      <c r="A1599" t="n">
        <v>-73704.5</v>
      </c>
      <c r="B1599">
        <f>+B1598+A1599</f>
        <v/>
      </c>
    </row>
    <row r="1600">
      <c r="A1600" t="n">
        <v>-73247.5</v>
      </c>
      <c r="B1600">
        <f>+B1599+A1600</f>
        <v/>
      </c>
    </row>
    <row r="1601">
      <c r="A1601" t="n">
        <v>-73326.78</v>
      </c>
      <c r="B1601">
        <f>+B1600+A1601</f>
        <v/>
      </c>
    </row>
    <row r="1602">
      <c r="A1602" t="n">
        <v>-73066.34</v>
      </c>
      <c r="B1602">
        <f>+B1601+A1602</f>
        <v/>
      </c>
    </row>
    <row r="1603">
      <c r="A1603" t="n">
        <v>73467.98</v>
      </c>
      <c r="B1603">
        <f>+B1602+A1603</f>
        <v/>
      </c>
      <c r="C1603" t="n">
        <v>401.64</v>
      </c>
    </row>
    <row r="1604">
      <c r="A1604" t="n">
        <v>73549.46000000001</v>
      </c>
      <c r="B1604">
        <f>+B1603+A1604</f>
        <v/>
      </c>
      <c r="C1604" t="n">
        <v>222.68</v>
      </c>
    </row>
    <row r="1605">
      <c r="A1605" t="n">
        <v>73676.66</v>
      </c>
      <c r="B1605">
        <f>+B1604+A1605</f>
        <v/>
      </c>
      <c r="C1605" t="n">
        <v>429.16</v>
      </c>
    </row>
    <row r="1606">
      <c r="A1606" t="n">
        <v>73629.96000000001</v>
      </c>
      <c r="B1606">
        <f>+B1605+A1606</f>
        <v/>
      </c>
      <c r="C1606" t="n">
        <v>-74.54000000000001</v>
      </c>
    </row>
    <row r="1607">
      <c r="A1607" t="n">
        <v>-73287.5</v>
      </c>
      <c r="B1607">
        <f>+B1606+A1607</f>
        <v/>
      </c>
    </row>
    <row r="1608">
      <c r="A1608" t="n">
        <v>73342.47</v>
      </c>
      <c r="B1608">
        <f>+B1607+A1608</f>
        <v/>
      </c>
      <c r="C1608" t="n">
        <v>54.97</v>
      </c>
    </row>
    <row r="1609">
      <c r="A1609" t="n">
        <v>-73256</v>
      </c>
      <c r="B1609">
        <f>+B1608+A1609</f>
        <v/>
      </c>
    </row>
    <row r="1610">
      <c r="A1610" t="n">
        <v>73304.86</v>
      </c>
      <c r="B1610">
        <f>+B1609+A1610</f>
        <v/>
      </c>
      <c r="C1610" t="n">
        <v>48.86</v>
      </c>
    </row>
    <row r="1611">
      <c r="B1611" t="inlineStr">
        <is>
          <t xml:space="preserve">合計 </t>
        </is>
      </c>
      <c r="C1611">
        <f>SUM(C1599:C1610)</f>
        <v/>
      </c>
    </row>
    <row r="1612">
      <c r="B1612" t="inlineStr">
        <is>
          <t>核驗</t>
        </is>
      </c>
      <c r="C1612">
        <f>+B1610-B1598</f>
        <v/>
      </c>
    </row>
    <row r="1614">
      <c r="A1614" t="inlineStr">
        <is>
          <t>2026.06.25當沖</t>
        </is>
      </c>
      <c r="B1614" t="inlineStr">
        <is>
          <t>買</t>
        </is>
      </c>
      <c r="C1614" s="80">
        <f>SUMIF(A1599:A1610,"&lt;0")</f>
        <v/>
      </c>
    </row>
    <row r="1615">
      <c r="A1615">
        <f>"SPY " &amp; COUNT(C1599:C1610) * 100 &amp; "股"</f>
        <v/>
      </c>
      <c r="B1615" t="inlineStr">
        <is>
          <t>賣</t>
        </is>
      </c>
      <c r="C1615" s="80">
        <f>SUMIF(A1599:A1610,"&gt;0")</f>
        <v/>
      </c>
    </row>
    <row r="1616">
      <c r="B1616" t="inlineStr">
        <is>
          <t>當日損益</t>
        </is>
      </c>
      <c r="C1616" s="80">
        <f>+C1614+C1615</f>
        <v/>
      </c>
    </row>
    <row r="1617">
      <c r="B1617" t="inlineStr">
        <is>
          <t>當日損益 %</t>
        </is>
      </c>
      <c r="C1617" s="45">
        <f>C1616/ABS(C1614)</f>
        <v/>
      </c>
    </row>
    <row r="1620">
      <c r="A1620" t="inlineStr">
        <is>
          <t>2026.06.26</t>
        </is>
      </c>
      <c r="B1620" t="n">
        <v>-262730.95</v>
      </c>
      <c r="C1620" t="inlineStr">
        <is>
          <t>損益</t>
        </is>
      </c>
    </row>
    <row r="1621">
      <c r="A1621" t="n">
        <v>72800.23</v>
      </c>
      <c r="B1621">
        <f>+B1620+A1621</f>
        <v/>
      </c>
    </row>
    <row r="1622">
      <c r="A1622" t="n">
        <v>72956.98</v>
      </c>
      <c r="B1622">
        <f>+B1621+A1622</f>
        <v/>
      </c>
    </row>
    <row r="1623">
      <c r="A1623" t="n">
        <v>-73018</v>
      </c>
      <c r="B1623">
        <f>+B1622+A1623</f>
        <v/>
      </c>
      <c r="C1623" t="n">
        <v>-61.02</v>
      </c>
    </row>
    <row r="1624">
      <c r="A1624" t="n">
        <v>-73083.5</v>
      </c>
      <c r="B1624">
        <f>+B1623+A1624</f>
        <v/>
      </c>
      <c r="C1624" t="n">
        <v>-283.27</v>
      </c>
    </row>
    <row r="1625">
      <c r="A1625" t="n">
        <v>-73284.99000000001</v>
      </c>
      <c r="B1625">
        <f>+B1624+A1625</f>
        <v/>
      </c>
    </row>
    <row r="1626">
      <c r="A1626" t="n">
        <v>73286.47</v>
      </c>
      <c r="B1626">
        <f>+B1625+A1626</f>
        <v/>
      </c>
      <c r="C1626" t="n">
        <v>1.48</v>
      </c>
    </row>
    <row r="1627">
      <c r="A1627" t="n">
        <v>-73402.25</v>
      </c>
      <c r="B1627">
        <f>+B1626+A1627</f>
        <v/>
      </c>
    </row>
    <row r="1628">
      <c r="A1628" t="n">
        <v>73385.97</v>
      </c>
      <c r="B1628">
        <f>+B1627+A1628</f>
        <v/>
      </c>
      <c r="C1628" t="n">
        <v>-16.28</v>
      </c>
    </row>
    <row r="1629">
      <c r="A1629" t="n">
        <v>73296.47</v>
      </c>
      <c r="B1629">
        <f>+B1628+A1629</f>
        <v/>
      </c>
    </row>
    <row r="1630">
      <c r="A1630" t="n">
        <v>-73249</v>
      </c>
      <c r="B1630">
        <f>+B1629+A1630</f>
        <v/>
      </c>
      <c r="C1630" t="n">
        <v>47.47</v>
      </c>
    </row>
    <row r="1631">
      <c r="A1631" t="n">
        <v>73173.97</v>
      </c>
      <c r="B1631">
        <f>+B1630+A1631</f>
        <v/>
      </c>
    </row>
    <row r="1632">
      <c r="A1632" t="n">
        <v>-73228.92</v>
      </c>
      <c r="B1632">
        <f>+B1631+A1632</f>
        <v/>
      </c>
      <c r="C1632" t="n">
        <v>-54.95</v>
      </c>
    </row>
    <row r="1633">
      <c r="A1633" t="n">
        <v>-73249.99000000001</v>
      </c>
      <c r="B1633">
        <f>+B1632+A1633</f>
        <v/>
      </c>
    </row>
    <row r="1634">
      <c r="A1634" t="n">
        <v>73281.48</v>
      </c>
      <c r="B1634">
        <f>+B1633+A1634</f>
        <v/>
      </c>
      <c r="C1634" t="n">
        <v>31.49</v>
      </c>
    </row>
    <row r="1635">
      <c r="A1635" t="n">
        <v>-73293</v>
      </c>
      <c r="B1635">
        <f>+B1634+A1635</f>
        <v/>
      </c>
    </row>
    <row r="1636">
      <c r="A1636" t="n">
        <v>-73253</v>
      </c>
      <c r="B1636">
        <f>+B1635+A1636</f>
        <v/>
      </c>
    </row>
    <row r="1637">
      <c r="A1637" t="n">
        <v>73252.97</v>
      </c>
      <c r="B1637">
        <f>+B1636+A1637</f>
        <v/>
      </c>
      <c r="C1637" t="n">
        <v>-0.03</v>
      </c>
    </row>
    <row r="1638">
      <c r="A1638" t="n">
        <v>-73284.5</v>
      </c>
      <c r="B1638">
        <f>+B1637+A1638</f>
        <v/>
      </c>
    </row>
    <row r="1639">
      <c r="A1639" t="n">
        <v>-73176</v>
      </c>
      <c r="B1639">
        <f>+B1638+A1639</f>
        <v/>
      </c>
    </row>
    <row r="1640">
      <c r="A1640" t="n">
        <v>73276.97</v>
      </c>
      <c r="B1640">
        <f>+B1639+A1640</f>
        <v/>
      </c>
      <c r="C1640" t="n">
        <v>100.97</v>
      </c>
    </row>
    <row r="1641">
      <c r="A1641" t="n">
        <v>73378.47</v>
      </c>
      <c r="B1641">
        <f>+B1640+A1641</f>
        <v/>
      </c>
      <c r="C1641" t="n">
        <v>93.97</v>
      </c>
    </row>
    <row r="1642">
      <c r="A1642" t="n">
        <v>73381.48</v>
      </c>
      <c r="B1642">
        <f>+B1641+A1642</f>
        <v/>
      </c>
      <c r="C1642" t="n">
        <v>88.48</v>
      </c>
    </row>
    <row r="1643">
      <c r="B1643" t="inlineStr">
        <is>
          <t xml:space="preserve">合計 </t>
        </is>
      </c>
      <c r="C1643">
        <f>SUM(C1621:C1642)</f>
        <v/>
      </c>
    </row>
    <row r="1644">
      <c r="B1644" t="inlineStr">
        <is>
          <t>核驗</t>
        </is>
      </c>
      <c r="C1644">
        <f>+B1642-B1620</f>
        <v/>
      </c>
    </row>
    <row r="1646">
      <c r="A1646" t="inlineStr">
        <is>
          <t>2026.06.26當沖</t>
        </is>
      </c>
      <c r="B1646" t="inlineStr">
        <is>
          <t>買</t>
        </is>
      </c>
      <c r="C1646" s="80">
        <f>SUMIF(A1621:A1642,"&lt;0")</f>
        <v/>
      </c>
    </row>
    <row r="1647">
      <c r="A1647">
        <f>"SPY " &amp; COUNT(C1621:C1642) * 100 &amp; "股"</f>
        <v/>
      </c>
      <c r="B1647" t="inlineStr">
        <is>
          <t>賣</t>
        </is>
      </c>
      <c r="C1647" s="80">
        <f>SUMIF(A1621:A1642,"&gt;0")</f>
        <v/>
      </c>
    </row>
    <row r="1648">
      <c r="B1648" t="inlineStr">
        <is>
          <t>當日損益</t>
        </is>
      </c>
      <c r="C1648" s="80">
        <f>+C1646+C1647</f>
        <v/>
      </c>
    </row>
    <row r="1649">
      <c r="B1649" t="inlineStr">
        <is>
          <t>當日損益 %</t>
        </is>
      </c>
      <c r="C1649" s="45">
        <f>C1648/ABS(C1646)</f>
        <v/>
      </c>
    </row>
    <row r="1652">
      <c r="A1652" t="inlineStr">
        <is>
          <t>2026.06.29</t>
        </is>
      </c>
      <c r="B1652" t="n">
        <v>38255.01</v>
      </c>
      <c r="C1652" t="inlineStr">
        <is>
          <t>損益</t>
        </is>
      </c>
    </row>
    <row r="1653">
      <c r="A1653" t="n">
        <v>73835.96000000001</v>
      </c>
      <c r="B1653">
        <f>+B1652+A1653</f>
        <v/>
      </c>
    </row>
    <row r="1654">
      <c r="A1654" t="n">
        <v>-73936.5</v>
      </c>
      <c r="B1654">
        <f>+B1653+A1654</f>
        <v/>
      </c>
      <c r="C1654" t="n">
        <v>-100.54</v>
      </c>
    </row>
    <row r="1655">
      <c r="A1655" t="n">
        <v>-73603.99000000001</v>
      </c>
      <c r="B1655">
        <f>+B1654+A1655</f>
        <v/>
      </c>
    </row>
    <row r="1656">
      <c r="A1656" t="n">
        <v>73484.47</v>
      </c>
      <c r="B1656">
        <f>+B1655+A1656</f>
        <v/>
      </c>
      <c r="C1656" t="n">
        <v>-119.52</v>
      </c>
    </row>
    <row r="1657">
      <c r="A1657" t="n">
        <v>-73474</v>
      </c>
      <c r="B1657">
        <f>+B1656+A1657</f>
        <v/>
      </c>
    </row>
    <row r="1658">
      <c r="A1658" t="n">
        <v>-73294.99000000001</v>
      </c>
      <c r="B1658">
        <f>+B1657+A1658</f>
        <v/>
      </c>
    </row>
    <row r="1659">
      <c r="A1659" t="n">
        <v>73474.48</v>
      </c>
      <c r="B1659">
        <f>+B1658+A1659</f>
        <v/>
      </c>
      <c r="C1659" t="n">
        <v>179.49</v>
      </c>
    </row>
    <row r="1660">
      <c r="A1660" t="n">
        <v>73518.48</v>
      </c>
      <c r="B1660">
        <f>+B1659+A1660</f>
        <v/>
      </c>
      <c r="C1660" t="n">
        <v>44.48</v>
      </c>
    </row>
    <row r="1661">
      <c r="A1661" t="n">
        <v>-73737.99000000001</v>
      </c>
      <c r="B1661">
        <f>+B1660+A1661</f>
        <v/>
      </c>
    </row>
    <row r="1662">
      <c r="A1662" t="n">
        <v>73707.07000000001</v>
      </c>
      <c r="B1662">
        <f>+B1661+A1662</f>
        <v/>
      </c>
      <c r="C1662" t="n">
        <v>-30.92</v>
      </c>
    </row>
    <row r="1663">
      <c r="A1663" t="n">
        <v>-73676</v>
      </c>
      <c r="B1663">
        <f>+B1662+A1663</f>
        <v/>
      </c>
    </row>
    <row r="1664">
      <c r="A1664" t="n">
        <v>73739.96000000001</v>
      </c>
      <c r="B1664">
        <f>+B1663+A1664</f>
        <v/>
      </c>
      <c r="C1664" t="n">
        <v>63.96</v>
      </c>
    </row>
    <row r="1665">
      <c r="A1665" t="n">
        <v>-73806</v>
      </c>
      <c r="B1665">
        <f>+B1664+A1665</f>
        <v/>
      </c>
    </row>
    <row r="1666">
      <c r="A1666" t="n">
        <v>73793.96000000001</v>
      </c>
      <c r="B1666">
        <f>+B1665+A1666</f>
        <v/>
      </c>
      <c r="C1666" t="n">
        <v>-12.04</v>
      </c>
    </row>
    <row r="1667">
      <c r="A1667" t="n">
        <v>-73713</v>
      </c>
      <c r="B1667">
        <f>+B1666+A1667</f>
        <v/>
      </c>
    </row>
    <row r="1668">
      <c r="A1668" t="n">
        <v>73714.47</v>
      </c>
      <c r="B1668">
        <f>+B1667+A1668</f>
        <v/>
      </c>
      <c r="C1668" t="n">
        <v>1.47</v>
      </c>
    </row>
    <row r="1669">
      <c r="A1669" t="n">
        <v>-73786.5</v>
      </c>
      <c r="B1669">
        <f>+B1668+A1669</f>
        <v/>
      </c>
    </row>
    <row r="1670">
      <c r="A1670" t="n">
        <v>73789.96000000001</v>
      </c>
      <c r="B1670">
        <f>+B1669+A1670</f>
        <v/>
      </c>
      <c r="C1670" t="n">
        <v>3.46</v>
      </c>
    </row>
    <row r="1671">
      <c r="B1671" t="inlineStr">
        <is>
          <t xml:space="preserve">合計 </t>
        </is>
      </c>
      <c r="C1671">
        <f>SUM(C1653:C1670)</f>
        <v/>
      </c>
    </row>
    <row r="1672">
      <c r="B1672" t="inlineStr">
        <is>
          <t>核驗</t>
        </is>
      </c>
      <c r="C1672">
        <f>+B1670-B1652</f>
        <v/>
      </c>
    </row>
    <row r="1674">
      <c r="A1674" t="inlineStr">
        <is>
          <t>2026.06.29當沖</t>
        </is>
      </c>
      <c r="B1674" t="inlineStr">
        <is>
          <t>買</t>
        </is>
      </c>
      <c r="C1674" s="80">
        <f>SUMIF(A1653:A1670,"&lt;0")</f>
        <v/>
      </c>
    </row>
    <row r="1675">
      <c r="A1675">
        <f>"SPY " &amp; COUNT(C1653:C1670) * 100 &amp; "股"</f>
        <v/>
      </c>
      <c r="B1675" t="inlineStr">
        <is>
          <t>賣</t>
        </is>
      </c>
      <c r="C1675" s="80">
        <f>SUMIF(A1653:A1670,"&gt;0")</f>
        <v/>
      </c>
    </row>
    <row r="1676">
      <c r="B1676" t="inlineStr">
        <is>
          <t>當日損益</t>
        </is>
      </c>
      <c r="C1676" s="80">
        <f>+C1674+C1675</f>
        <v/>
      </c>
    </row>
    <row r="1677">
      <c r="B1677" t="inlineStr">
        <is>
          <t>當日損益 %</t>
        </is>
      </c>
      <c r="C1677" s="45">
        <f>C1676/ABS(C1674)</f>
        <v/>
      </c>
    </row>
    <row r="1680">
      <c r="A1680" t="inlineStr">
        <is>
          <t>2026.06.30</t>
        </is>
      </c>
      <c r="B1680" t="n">
        <v>38203.32</v>
      </c>
      <c r="C1680" t="inlineStr">
        <is>
          <t>損益</t>
        </is>
      </c>
    </row>
    <row r="1681">
      <c r="A1681" t="n">
        <v>-74206.5</v>
      </c>
      <c r="B1681">
        <f>+B1680+A1681</f>
        <v/>
      </c>
    </row>
    <row r="1682">
      <c r="A1682" t="n">
        <v>74204.45</v>
      </c>
      <c r="B1682">
        <f>+B1681+A1682</f>
        <v/>
      </c>
      <c r="C1682" t="n">
        <v>-2.05</v>
      </c>
    </row>
    <row r="1683">
      <c r="A1683" t="n">
        <v>74179.45</v>
      </c>
      <c r="B1683">
        <f>+B1682+A1683</f>
        <v/>
      </c>
    </row>
    <row r="1684">
      <c r="A1684" t="n">
        <v>-74207</v>
      </c>
      <c r="B1684">
        <f>+B1683+A1684</f>
        <v/>
      </c>
      <c r="C1684" t="n">
        <v>-27.55</v>
      </c>
    </row>
    <row r="1685">
      <c r="A1685" t="n">
        <v>-74281.5</v>
      </c>
      <c r="B1685">
        <f>+B1684+A1685</f>
        <v/>
      </c>
    </row>
    <row r="1686">
      <c r="A1686" t="n">
        <v>74356.45</v>
      </c>
      <c r="B1686">
        <f>+B1685+A1686</f>
        <v/>
      </c>
      <c r="C1686" t="n">
        <v>74.95</v>
      </c>
    </row>
    <row r="1687">
      <c r="A1687" t="n">
        <v>-74355.5</v>
      </c>
      <c r="B1687">
        <f>+B1686+A1687</f>
        <v/>
      </c>
    </row>
    <row r="1688">
      <c r="A1688" t="n">
        <v>74369.45</v>
      </c>
      <c r="B1688">
        <f>+B1687+A1688</f>
        <v/>
      </c>
      <c r="C1688" t="n">
        <v>13.95</v>
      </c>
    </row>
    <row r="1689">
      <c r="A1689" t="n">
        <v>-74500.83</v>
      </c>
      <c r="B1689">
        <f>+B1688+A1689</f>
        <v/>
      </c>
    </row>
    <row r="1690">
      <c r="A1690" t="n">
        <v>-74442.5</v>
      </c>
      <c r="B1690">
        <f>+B1689+A1690</f>
        <v/>
      </c>
    </row>
    <row r="1691">
      <c r="A1691" t="n">
        <v>74379.46000000001</v>
      </c>
      <c r="B1691">
        <f>+B1690+A1691</f>
        <v/>
      </c>
      <c r="C1691" t="n">
        <v>-63.04</v>
      </c>
    </row>
    <row r="1692">
      <c r="A1692" t="n">
        <v>74537.45</v>
      </c>
      <c r="B1692">
        <f>+B1691+A1692</f>
        <v/>
      </c>
      <c r="C1692" t="n">
        <v>36.62</v>
      </c>
    </row>
    <row r="1693">
      <c r="B1693" t="inlineStr">
        <is>
          <t xml:space="preserve">合計 </t>
        </is>
      </c>
      <c r="C1693">
        <f>SUM(C1681:C1692)</f>
        <v/>
      </c>
    </row>
    <row r="1694">
      <c r="B1694" t="inlineStr">
        <is>
          <t>核驗</t>
        </is>
      </c>
      <c r="C1694">
        <f>+B1692-B1680</f>
        <v/>
      </c>
    </row>
    <row r="1696">
      <c r="A1696" t="inlineStr">
        <is>
          <t>2026.06.30當沖</t>
        </is>
      </c>
      <c r="B1696" t="inlineStr">
        <is>
          <t>買</t>
        </is>
      </c>
      <c r="C1696" s="80">
        <f>SUMIF(A1681:A1692,"&lt;0")</f>
        <v/>
      </c>
    </row>
    <row r="1697">
      <c r="A1697">
        <f>"SPY " &amp; COUNT(C1681:C1692) * 100 &amp; "股"</f>
        <v/>
      </c>
      <c r="B1697" t="inlineStr">
        <is>
          <t>賣</t>
        </is>
      </c>
      <c r="C1697" s="80">
        <f>SUMIF(A1681:A1692,"&gt;0")</f>
        <v/>
      </c>
    </row>
    <row r="1698">
      <c r="B1698" t="inlineStr">
        <is>
          <t>當日損益</t>
        </is>
      </c>
      <c r="C1698" s="80">
        <f>+C1696+C1697</f>
        <v/>
      </c>
    </row>
    <row r="1699">
      <c r="B1699" t="inlineStr">
        <is>
          <t>當日損益 %</t>
        </is>
      </c>
      <c r="C1699" s="45">
        <f>C1698/ABS(C1696)</f>
        <v/>
      </c>
    </row>
    <row r="1702">
      <c r="A1702" t="inlineStr">
        <is>
          <t>2026.07.01</t>
        </is>
      </c>
      <c r="B1702" t="n">
        <v>37959.1</v>
      </c>
      <c r="C1702" t="inlineStr">
        <is>
          <t>損益</t>
        </is>
      </c>
    </row>
    <row r="1703">
      <c r="A1703" t="n">
        <v>74352.45</v>
      </c>
      <c r="B1703">
        <f>+B1702+A1703</f>
        <v/>
      </c>
    </row>
    <row r="1704">
      <c r="A1704" t="n">
        <v>-74341</v>
      </c>
      <c r="B1704">
        <f>+B1703+A1704</f>
        <v/>
      </c>
      <c r="C1704" t="n">
        <v>11.45</v>
      </c>
    </row>
    <row r="1705">
      <c r="A1705" t="n">
        <v>-74638</v>
      </c>
      <c r="B1705">
        <f>+B1704+A1705</f>
        <v/>
      </c>
    </row>
    <row r="1706">
      <c r="A1706" t="n">
        <v>74690.45</v>
      </c>
      <c r="B1706">
        <f>+B1705+A1706</f>
        <v/>
      </c>
      <c r="C1706" t="n">
        <v>52.45</v>
      </c>
    </row>
    <row r="1707">
      <c r="A1707" t="n">
        <v>-74680</v>
      </c>
      <c r="B1707">
        <f>+B1706+A1707</f>
        <v/>
      </c>
    </row>
    <row r="1708">
      <c r="A1708" t="n">
        <v>74681.94</v>
      </c>
      <c r="B1708">
        <f>+B1707+A1708</f>
        <v/>
      </c>
      <c r="C1708" t="n">
        <v>1.94</v>
      </c>
    </row>
    <row r="1709">
      <c r="A1709" t="n">
        <v>-74637</v>
      </c>
      <c r="B1709">
        <f>+B1708+A1709</f>
        <v/>
      </c>
    </row>
    <row r="1710">
      <c r="A1710" t="n">
        <v>74731.94</v>
      </c>
      <c r="B1710">
        <f>+B1709+A1710</f>
        <v/>
      </c>
      <c r="C1710" t="n">
        <v>94.94</v>
      </c>
    </row>
    <row r="1711">
      <c r="A1711" t="n">
        <v>-74777.36</v>
      </c>
      <c r="B1711">
        <f>+B1710+A1711</f>
        <v/>
      </c>
    </row>
    <row r="1712">
      <c r="A1712" t="n">
        <v>74799.44</v>
      </c>
      <c r="B1712">
        <f>+B1711+A1712</f>
        <v/>
      </c>
      <c r="C1712" t="n">
        <v>22.08</v>
      </c>
    </row>
    <row r="1713">
      <c r="A1713" t="n">
        <v>-74880</v>
      </c>
      <c r="B1713">
        <f>+B1712+A1713</f>
        <v/>
      </c>
    </row>
    <row r="1714">
      <c r="A1714" t="n">
        <v>74873.16</v>
      </c>
      <c r="B1714">
        <f>+B1713+A1714</f>
        <v/>
      </c>
      <c r="C1714" t="n">
        <v>-6.84</v>
      </c>
    </row>
    <row r="1715">
      <c r="A1715" t="n">
        <v>-74870</v>
      </c>
      <c r="B1715">
        <f>+B1714+A1715</f>
        <v/>
      </c>
    </row>
    <row r="1716">
      <c r="A1716" t="n">
        <v>-74877.78999999999</v>
      </c>
      <c r="B1716">
        <f>+B1715+A1716</f>
        <v/>
      </c>
    </row>
    <row r="1717">
      <c r="A1717" t="n">
        <v>74899.44</v>
      </c>
      <c r="B1717">
        <f>+B1716+A1717</f>
        <v/>
      </c>
      <c r="C1717" t="n">
        <v>21.65</v>
      </c>
    </row>
    <row r="1718">
      <c r="A1718" t="n">
        <v>-74845.8</v>
      </c>
      <c r="B1718">
        <f>+B1717+A1718</f>
        <v/>
      </c>
    </row>
    <row r="1719">
      <c r="A1719" t="n">
        <v>74679.44</v>
      </c>
      <c r="B1719">
        <f>+B1718+A1719</f>
        <v/>
      </c>
      <c r="C1719" t="n">
        <v>-166.36</v>
      </c>
    </row>
    <row r="1720">
      <c r="A1720" t="n">
        <v>74689.44</v>
      </c>
      <c r="B1720">
        <f>+B1719+A1720</f>
        <v/>
      </c>
      <c r="C1720" t="n">
        <v>-180.56</v>
      </c>
    </row>
    <row r="1721">
      <c r="B1721" t="inlineStr">
        <is>
          <t xml:space="preserve">合計 </t>
        </is>
      </c>
      <c r="C1721">
        <f>SUM(C1703:C1720)</f>
        <v/>
      </c>
    </row>
    <row r="1722">
      <c r="B1722" t="inlineStr">
        <is>
          <t>核驗</t>
        </is>
      </c>
      <c r="C1722">
        <f>+B1720-B1702</f>
        <v/>
      </c>
    </row>
    <row r="1724">
      <c r="A1724" t="inlineStr">
        <is>
          <t>2026.07.01當沖</t>
        </is>
      </c>
      <c r="B1724" t="inlineStr">
        <is>
          <t>買</t>
        </is>
      </c>
      <c r="C1724" s="80">
        <f>SUMIF(A1703:A1720,"&lt;0")</f>
        <v/>
      </c>
    </row>
    <row r="1725">
      <c r="A1725">
        <f>"SPY " &amp; COUNT(C1703:C1720) * 100 &amp; "股"</f>
        <v/>
      </c>
      <c r="B1725" t="inlineStr">
        <is>
          <t>賣</t>
        </is>
      </c>
      <c r="C1725" s="80">
        <f>SUMIF(A1703:A1720,"&gt;0")</f>
        <v/>
      </c>
    </row>
    <row r="1726">
      <c r="B1726" t="inlineStr">
        <is>
          <t>當日損益</t>
        </is>
      </c>
      <c r="C1726" s="80">
        <f>+C1724+C1725</f>
        <v/>
      </c>
    </row>
    <row r="1727">
      <c r="B1727" t="inlineStr">
        <is>
          <t>當日損益 %</t>
        </is>
      </c>
      <c r="C1727" s="45">
        <f>C1726/ABS(C1724)</f>
        <v/>
      </c>
    </row>
    <row r="1730">
      <c r="A1730" t="inlineStr">
        <is>
          <t>2026.07.02</t>
        </is>
      </c>
      <c r="B1730" t="n">
        <v>37877.35</v>
      </c>
      <c r="C1730" t="inlineStr">
        <is>
          <t>損益</t>
        </is>
      </c>
    </row>
    <row r="1731">
      <c r="A1731" t="n">
        <v>-75084</v>
      </c>
      <c r="B1731">
        <f>+B1730+A1731</f>
        <v/>
      </c>
    </row>
    <row r="1732">
      <c r="A1732" t="n">
        <v>75098.53</v>
      </c>
      <c r="B1732">
        <f>+B1731+A1732</f>
        <v/>
      </c>
      <c r="C1732" t="n">
        <v>14.53</v>
      </c>
    </row>
    <row r="1733">
      <c r="A1733" t="n">
        <v>-75052.94</v>
      </c>
      <c r="B1733">
        <f>+B1732+A1733</f>
        <v/>
      </c>
    </row>
    <row r="1734">
      <c r="A1734" t="n">
        <v>75061.92999999999</v>
      </c>
      <c r="B1734">
        <f>+B1733+A1734</f>
        <v/>
      </c>
      <c r="C1734" t="n">
        <v>8.99</v>
      </c>
    </row>
    <row r="1735">
      <c r="A1735" t="n">
        <v>-75074</v>
      </c>
      <c r="B1735">
        <f>+B1734+A1735</f>
        <v/>
      </c>
    </row>
    <row r="1736">
      <c r="A1736" t="n">
        <v>75005.92999999999</v>
      </c>
      <c r="B1736">
        <f>+B1735+A1736</f>
        <v/>
      </c>
      <c r="C1736" t="n">
        <v>-68.06999999999999</v>
      </c>
    </row>
    <row r="1737">
      <c r="A1737" t="n">
        <v>-75072.67</v>
      </c>
      <c r="B1737">
        <f>+B1736+A1737</f>
        <v/>
      </c>
    </row>
    <row r="1738">
      <c r="A1738" t="n">
        <v>74999.44</v>
      </c>
      <c r="B1738">
        <f>+B1737+A1738</f>
        <v/>
      </c>
      <c r="C1738" t="n">
        <v>-73.23</v>
      </c>
    </row>
    <row r="1739">
      <c r="A1739" t="n">
        <v>74837.44</v>
      </c>
      <c r="B1739">
        <f>+B1738+A1739</f>
        <v/>
      </c>
    </row>
    <row r="1740">
      <c r="A1740" t="n">
        <v>-74840.89999999999</v>
      </c>
      <c r="B1740">
        <f>+B1739+A1740</f>
        <v/>
      </c>
      <c r="C1740" t="n">
        <v>-3.46</v>
      </c>
    </row>
    <row r="1741">
      <c r="A1741" t="n">
        <v>-74677</v>
      </c>
      <c r="B1741">
        <f>+B1740+A1741</f>
        <v/>
      </c>
    </row>
    <row r="1742">
      <c r="A1742" t="n">
        <v>-74635</v>
      </c>
      <c r="B1742">
        <f>+B1741+A1742</f>
        <v/>
      </c>
    </row>
    <row r="1743">
      <c r="A1743" t="n">
        <v>74750.44</v>
      </c>
      <c r="B1743">
        <f>+B1742+A1743</f>
        <v/>
      </c>
      <c r="C1743" t="n">
        <v>115.44</v>
      </c>
    </row>
    <row r="1744">
      <c r="A1744" t="n">
        <v>-74626.17999999999</v>
      </c>
      <c r="B1744">
        <f>+B1743+A1744</f>
        <v/>
      </c>
    </row>
    <row r="1745">
      <c r="A1745" t="n">
        <v>-74519.99000000001</v>
      </c>
      <c r="B1745">
        <f>+B1744+A1745</f>
        <v/>
      </c>
    </row>
    <row r="1746">
      <c r="A1746" t="n">
        <v>74521.85000000001</v>
      </c>
      <c r="B1746">
        <f>+B1745+A1746</f>
        <v/>
      </c>
      <c r="C1746" t="n">
        <v>1.86</v>
      </c>
    </row>
    <row r="1747">
      <c r="A1747" t="n">
        <v>74638.94</v>
      </c>
      <c r="B1747">
        <f>+B1746+A1747</f>
        <v/>
      </c>
      <c r="C1747" t="n">
        <v>12.76</v>
      </c>
    </row>
    <row r="1748">
      <c r="A1748" t="n">
        <v>-74474.5</v>
      </c>
      <c r="B1748">
        <f>+B1747+A1748</f>
        <v/>
      </c>
    </row>
    <row r="1749">
      <c r="A1749" t="n">
        <v>74535.94</v>
      </c>
      <c r="B1749">
        <f>+B1748+A1749</f>
        <v/>
      </c>
      <c r="C1749" t="n">
        <v>61.44</v>
      </c>
    </row>
    <row r="1750">
      <c r="A1750" t="n">
        <v>-74594.5</v>
      </c>
      <c r="B1750">
        <f>+B1749+A1750</f>
        <v/>
      </c>
    </row>
    <row r="1751">
      <c r="A1751" t="n">
        <v>74653.83</v>
      </c>
      <c r="B1751">
        <f>+B1750+A1751</f>
        <v/>
      </c>
      <c r="C1751" t="n">
        <v>59.33</v>
      </c>
    </row>
    <row r="1752">
      <c r="A1752" t="n">
        <v>-74450.99000000001</v>
      </c>
      <c r="B1752">
        <f>+B1751+A1752</f>
        <v/>
      </c>
    </row>
    <row r="1753">
      <c r="A1753" t="n">
        <v>74450.95</v>
      </c>
      <c r="B1753">
        <f>+B1752+A1753</f>
        <v/>
      </c>
      <c r="C1753" t="n">
        <v>-0.04</v>
      </c>
    </row>
    <row r="1754">
      <c r="A1754" t="n">
        <v>-74415.2</v>
      </c>
      <c r="B1754">
        <f>+B1753+A1754</f>
        <v/>
      </c>
    </row>
    <row r="1755">
      <c r="A1755" t="n">
        <v>74422.95</v>
      </c>
      <c r="B1755">
        <f>+B1754+A1755</f>
        <v/>
      </c>
      <c r="C1755" t="n">
        <v>7.75</v>
      </c>
    </row>
    <row r="1756">
      <c r="A1756" t="n">
        <v>-74419.5</v>
      </c>
      <c r="B1756">
        <f>+B1755+A1756</f>
        <v/>
      </c>
    </row>
    <row r="1757">
      <c r="A1757" t="n">
        <v>74450.45</v>
      </c>
      <c r="B1757">
        <f>+B1756+A1757</f>
        <v/>
      </c>
      <c r="C1757" t="n">
        <v>30.95</v>
      </c>
    </row>
    <row r="1758">
      <c r="A1758" t="n">
        <v>-74455.69</v>
      </c>
      <c r="B1758">
        <f>+B1757+A1758</f>
        <v/>
      </c>
    </row>
    <row r="1759">
      <c r="A1759" t="n">
        <v>74391.45</v>
      </c>
      <c r="B1759">
        <f>+B1758+A1759</f>
        <v/>
      </c>
      <c r="C1759" t="n">
        <v>-64.23999999999999</v>
      </c>
    </row>
    <row r="1760">
      <c r="A1760" t="n">
        <v>-74274.99000000001</v>
      </c>
      <c r="B1760">
        <f>+B1759+A1760</f>
        <v/>
      </c>
    </row>
    <row r="1761">
      <c r="A1761" t="n">
        <v>74321.17</v>
      </c>
      <c r="B1761">
        <f>+B1760+A1761</f>
        <v/>
      </c>
      <c r="C1761" t="n">
        <v>46.18</v>
      </c>
    </row>
    <row r="1762">
      <c r="A1762" t="n">
        <v>-74214.78999999999</v>
      </c>
      <c r="B1762">
        <f>+B1761+A1762</f>
        <v/>
      </c>
    </row>
    <row r="1763">
      <c r="A1763" t="n">
        <v>74171.81</v>
      </c>
      <c r="B1763">
        <f>+B1762+A1763</f>
        <v/>
      </c>
      <c r="C1763" t="n">
        <v>-42.98</v>
      </c>
    </row>
    <row r="1764">
      <c r="A1764" t="n">
        <v>-74166</v>
      </c>
      <c r="B1764">
        <f>+B1763+A1764</f>
        <v/>
      </c>
    </row>
    <row r="1765">
      <c r="A1765" t="n">
        <v>74173.55</v>
      </c>
      <c r="B1765">
        <f>+B1764+A1765</f>
        <v/>
      </c>
      <c r="C1765" t="n">
        <v>7.55</v>
      </c>
    </row>
    <row r="1766">
      <c r="A1766" t="n">
        <v>-74092.60000000001</v>
      </c>
      <c r="B1766">
        <f>+B1765+A1766</f>
        <v/>
      </c>
    </row>
    <row r="1767">
      <c r="A1767" t="n">
        <v>74069.45</v>
      </c>
      <c r="B1767">
        <f>+B1766+A1767</f>
        <v/>
      </c>
      <c r="C1767" t="n">
        <v>-23.15</v>
      </c>
    </row>
    <row r="1768">
      <c r="A1768" t="n">
        <v>74055.81</v>
      </c>
      <c r="B1768">
        <f>+B1767+A1768</f>
        <v/>
      </c>
      <c r="C1768" t="n">
        <v>-621.1900000000001</v>
      </c>
    </row>
    <row r="1769">
      <c r="A1769" t="n">
        <v>-74052.99000000001</v>
      </c>
      <c r="B1769">
        <f>+B1768+A1769</f>
        <v/>
      </c>
    </row>
    <row r="1770">
      <c r="A1770" t="n">
        <v>74087.17</v>
      </c>
      <c r="B1770">
        <f>+B1769+A1770</f>
        <v/>
      </c>
      <c r="C1770" t="n">
        <v>34.18</v>
      </c>
    </row>
    <row r="1771">
      <c r="B1771" t="inlineStr">
        <is>
          <t xml:space="preserve">合計 </t>
        </is>
      </c>
      <c r="C1771">
        <f>SUM(C1731:C1770)</f>
        <v/>
      </c>
    </row>
    <row r="1772">
      <c r="B1772" t="inlineStr">
        <is>
          <t>核驗</t>
        </is>
      </c>
      <c r="C1772">
        <f>+B1770-B1730</f>
        <v/>
      </c>
    </row>
    <row r="1774">
      <c r="A1774" t="inlineStr">
        <is>
          <t>2026.07.02當沖</t>
        </is>
      </c>
      <c r="B1774" t="inlineStr">
        <is>
          <t>買</t>
        </is>
      </c>
      <c r="C1774" s="80">
        <f>SUMIF(A1731:A1770,"&lt;0")</f>
        <v/>
      </c>
    </row>
    <row r="1775">
      <c r="A1775">
        <f>"SPY " &amp; COUNT(C1731:C1770) * 100 &amp; "股"</f>
        <v/>
      </c>
      <c r="B1775" t="inlineStr">
        <is>
          <t>賣</t>
        </is>
      </c>
      <c r="C1775" s="80">
        <f>SUMIF(A1731:A1770,"&gt;0")</f>
        <v/>
      </c>
    </row>
    <row r="1776">
      <c r="B1776" t="inlineStr">
        <is>
          <t>當日損益</t>
        </is>
      </c>
      <c r="C1776" s="80">
        <f>+C1774+C1775</f>
        <v/>
      </c>
    </row>
    <row r="1777">
      <c r="B1777" t="inlineStr">
        <is>
          <t>當日損益 %</t>
        </is>
      </c>
      <c r="C1777" s="45">
        <f>C1776/ABS(C1774)</f>
        <v/>
      </c>
    </row>
    <row r="1780">
      <c r="A1780" t="inlineStr">
        <is>
          <t>2026.07.06</t>
        </is>
      </c>
      <c r="B1780" t="n">
        <v>37842.73</v>
      </c>
      <c r="C1780" t="inlineStr">
        <is>
          <t>損益</t>
        </is>
      </c>
    </row>
    <row r="1781">
      <c r="A1781" t="n">
        <v>-74875.5</v>
      </c>
      <c r="B1781">
        <f>+B1780+A1781</f>
        <v/>
      </c>
    </row>
    <row r="1782">
      <c r="A1782" t="n">
        <v>74851.94</v>
      </c>
      <c r="B1782">
        <f>+B1781+A1782</f>
        <v/>
      </c>
      <c r="C1782" t="n">
        <v>-23.56</v>
      </c>
    </row>
    <row r="1783">
      <c r="A1783" t="n">
        <v>-74896.28</v>
      </c>
      <c r="B1783">
        <f>+B1782+A1783</f>
        <v/>
      </c>
    </row>
    <row r="1784">
      <c r="A1784" t="n">
        <v>74911.45</v>
      </c>
      <c r="B1784">
        <f>+B1783+A1784</f>
        <v/>
      </c>
      <c r="C1784" t="n">
        <v>15.17</v>
      </c>
    </row>
    <row r="1785">
      <c r="A1785" t="n">
        <v>-74966.53</v>
      </c>
      <c r="B1785">
        <f>+B1784+A1785</f>
        <v/>
      </c>
    </row>
    <row r="1786">
      <c r="A1786" t="n">
        <v>74977.44</v>
      </c>
      <c r="B1786">
        <f>+B1785+A1786</f>
        <v/>
      </c>
      <c r="C1786" t="n">
        <v>10.91</v>
      </c>
    </row>
    <row r="1787">
      <c r="A1787" t="n">
        <v>-75057.5</v>
      </c>
      <c r="B1787">
        <f>+B1786+A1787</f>
        <v/>
      </c>
    </row>
    <row r="1788">
      <c r="A1788" t="n">
        <v>-75066.5</v>
      </c>
      <c r="B1788">
        <f>+B1787+A1788</f>
        <v/>
      </c>
    </row>
    <row r="1789">
      <c r="A1789" t="n">
        <v>75065.67</v>
      </c>
      <c r="B1789">
        <f>+B1788+A1789</f>
        <v/>
      </c>
      <c r="C1789" t="n">
        <v>-0.83</v>
      </c>
    </row>
    <row r="1790">
      <c r="A1790" t="n">
        <v>-75066</v>
      </c>
      <c r="B1790">
        <f>+B1789+A1790</f>
        <v/>
      </c>
    </row>
    <row r="1791">
      <c r="A1791" t="n">
        <v>75072.94</v>
      </c>
      <c r="B1791">
        <f>+B1790+A1791</f>
        <v/>
      </c>
      <c r="C1791" t="n">
        <v>6.94</v>
      </c>
    </row>
    <row r="1792">
      <c r="A1792" t="n">
        <v>-75069.5</v>
      </c>
      <c r="B1792">
        <f>+B1791+A1792</f>
        <v/>
      </c>
    </row>
    <row r="1793">
      <c r="A1793" t="n">
        <v>75099.94</v>
      </c>
      <c r="B1793">
        <f>+B1792+A1793</f>
        <v/>
      </c>
      <c r="C1793" t="n">
        <v>30.44</v>
      </c>
    </row>
    <row r="1794">
      <c r="A1794" t="n">
        <v>75092.8</v>
      </c>
      <c r="B1794">
        <f>+B1793+A1794</f>
        <v/>
      </c>
      <c r="C1794" t="n">
        <v>35.3</v>
      </c>
    </row>
    <row r="1795">
      <c r="A1795" t="n">
        <v>-75062</v>
      </c>
      <c r="B1795">
        <f>+B1794+A1795</f>
        <v/>
      </c>
    </row>
    <row r="1796">
      <c r="A1796" t="n">
        <v>75142.39</v>
      </c>
      <c r="B1796">
        <f>+B1795+A1796</f>
        <v/>
      </c>
      <c r="C1796" t="n">
        <v>80.39</v>
      </c>
    </row>
    <row r="1797">
      <c r="B1797" t="inlineStr">
        <is>
          <t xml:space="preserve">合計 </t>
        </is>
      </c>
      <c r="C1797">
        <f>SUM(C1781:C1796)</f>
        <v/>
      </c>
    </row>
    <row r="1798">
      <c r="B1798" t="inlineStr">
        <is>
          <t>核驗</t>
        </is>
      </c>
      <c r="C1798">
        <f>+B1796-B1780</f>
        <v/>
      </c>
    </row>
    <row r="1800">
      <c r="A1800" t="inlineStr">
        <is>
          <t>2026.07.06當沖</t>
        </is>
      </c>
      <c r="B1800" t="inlineStr">
        <is>
          <t>買</t>
        </is>
      </c>
      <c r="C1800" s="80">
        <f>SUMIF(A1781:A1796,"&lt;0")</f>
        <v/>
      </c>
    </row>
    <row r="1801">
      <c r="A1801">
        <f>"SPY " &amp; COUNT(C1781:C1796) * 100 &amp; "股"</f>
        <v/>
      </c>
      <c r="B1801" t="inlineStr">
        <is>
          <t>賣</t>
        </is>
      </c>
      <c r="C1801" s="80">
        <f>SUMIF(A1781:A1796,"&gt;0")</f>
        <v/>
      </c>
    </row>
    <row r="1802">
      <c r="B1802" t="inlineStr">
        <is>
          <t>當日損益</t>
        </is>
      </c>
      <c r="C1802" s="80">
        <f>+C1800+C1801</f>
        <v/>
      </c>
    </row>
    <row r="1803">
      <c r="B1803" t="inlineStr">
        <is>
          <t>當日損益 %</t>
        </is>
      </c>
      <c r="C1803" s="45">
        <f>C1802/ABS(C1800)</f>
        <v/>
      </c>
    </row>
    <row r="1806">
      <c r="A1806" t="inlineStr">
        <is>
          <t>2026.07.07</t>
        </is>
      </c>
      <c r="B1806" t="n">
        <v>37347.33</v>
      </c>
      <c r="C1806" t="inlineStr">
        <is>
          <t>損益</t>
        </is>
      </c>
    </row>
    <row r="1807">
      <c r="A1807" t="n">
        <v>-74962</v>
      </c>
      <c r="B1807">
        <f>+B1806+A1807</f>
        <v/>
      </c>
    </row>
    <row r="1808">
      <c r="A1808" t="n">
        <v>74889.84</v>
      </c>
      <c r="B1808">
        <f>+B1807+A1808</f>
        <v/>
      </c>
      <c r="C1808" t="n">
        <v>-72.16</v>
      </c>
    </row>
    <row r="1809">
      <c r="A1809" t="n">
        <v>-74874.5</v>
      </c>
      <c r="B1809">
        <f>+B1808+A1809</f>
        <v/>
      </c>
    </row>
    <row r="1810">
      <c r="A1810" t="n">
        <v>74880.25999999999</v>
      </c>
      <c r="B1810">
        <f>+B1809+A1810</f>
        <v/>
      </c>
      <c r="C1810" t="n">
        <v>5.76</v>
      </c>
    </row>
    <row r="1811">
      <c r="A1811" t="n">
        <v>-74678</v>
      </c>
      <c r="B1811">
        <f>+B1810+A1811</f>
        <v/>
      </c>
    </row>
    <row r="1812">
      <c r="A1812" t="n">
        <v>74722.94</v>
      </c>
      <c r="B1812">
        <f>+B1811+A1812</f>
        <v/>
      </c>
      <c r="C1812" t="n">
        <v>44.94</v>
      </c>
    </row>
    <row r="1813">
      <c r="A1813" t="n">
        <v>-74715</v>
      </c>
      <c r="B1813">
        <f>+B1812+A1813</f>
        <v/>
      </c>
    </row>
    <row r="1814">
      <c r="A1814" t="n">
        <v>74698.45</v>
      </c>
      <c r="B1814">
        <f>+B1813+A1814</f>
        <v/>
      </c>
      <c r="C1814" t="n">
        <v>-16.55</v>
      </c>
    </row>
    <row r="1815">
      <c r="A1815" t="n">
        <v>-74630.5</v>
      </c>
      <c r="B1815">
        <f>+B1814+A1815</f>
        <v/>
      </c>
    </row>
    <row r="1816">
      <c r="A1816" t="n">
        <v>74621.94</v>
      </c>
      <c r="B1816">
        <f>+B1815+A1816</f>
        <v/>
      </c>
      <c r="C1816" t="n">
        <v>-8.56</v>
      </c>
    </row>
    <row r="1817">
      <c r="A1817" t="n">
        <v>-74659.25</v>
      </c>
      <c r="B1817">
        <f>+B1816+A1817</f>
        <v/>
      </c>
    </row>
    <row r="1818">
      <c r="A1818" t="n">
        <v>74670.44</v>
      </c>
      <c r="B1818">
        <f>+B1817+A1818</f>
        <v/>
      </c>
      <c r="C1818" t="n">
        <v>11.19</v>
      </c>
    </row>
    <row r="1819">
      <c r="A1819" t="n">
        <v>-74659</v>
      </c>
      <c r="B1819">
        <f>+B1818+A1819</f>
        <v/>
      </c>
    </row>
    <row r="1820">
      <c r="A1820" t="n">
        <v>74661.44</v>
      </c>
      <c r="B1820">
        <f>+B1819+A1820</f>
        <v/>
      </c>
      <c r="C1820" t="n">
        <v>2.44</v>
      </c>
    </row>
    <row r="1821">
      <c r="A1821" t="n">
        <v>-74587.58</v>
      </c>
      <c r="B1821">
        <f>+B1820+A1821</f>
        <v/>
      </c>
    </row>
    <row r="1822">
      <c r="A1822" t="n">
        <v>74607.94</v>
      </c>
      <c r="B1822">
        <f>+B1821+A1822</f>
        <v/>
      </c>
      <c r="C1822" t="n">
        <v>20.36</v>
      </c>
    </row>
    <row r="1823">
      <c r="A1823" t="n">
        <v>-74603.5</v>
      </c>
      <c r="B1823">
        <f>+B1822+A1823</f>
        <v/>
      </c>
    </row>
    <row r="1824">
      <c r="A1824" t="n">
        <v>74627.45</v>
      </c>
      <c r="B1824">
        <f>+B1823+A1824</f>
        <v/>
      </c>
      <c r="C1824" t="n">
        <v>23.95</v>
      </c>
    </row>
    <row r="1825">
      <c r="A1825" t="n">
        <v>-74873.61</v>
      </c>
      <c r="B1825">
        <f>+B1824+A1825</f>
        <v/>
      </c>
    </row>
    <row r="1826">
      <c r="A1826" t="n">
        <v>74891.57000000001</v>
      </c>
      <c r="B1826">
        <f>+B1825+A1826</f>
        <v/>
      </c>
      <c r="C1826" t="n">
        <v>17.96</v>
      </c>
    </row>
    <row r="1827">
      <c r="A1827" t="n">
        <v>-74892</v>
      </c>
      <c r="B1827">
        <f>+B1826+A1827</f>
        <v/>
      </c>
    </row>
    <row r="1828">
      <c r="A1828" t="n">
        <v>74895.2</v>
      </c>
      <c r="B1828">
        <f>+B1827+A1828</f>
        <v/>
      </c>
      <c r="C1828" t="n">
        <v>3.2</v>
      </c>
    </row>
    <row r="1829">
      <c r="B1829" t="inlineStr">
        <is>
          <t xml:space="preserve">合計 </t>
        </is>
      </c>
      <c r="C1829">
        <f>SUM(C1807:C1828)</f>
        <v/>
      </c>
    </row>
    <row r="1830">
      <c r="B1830" t="inlineStr">
        <is>
          <t>核驗</t>
        </is>
      </c>
      <c r="C1830">
        <f>+B1828-B1806</f>
        <v/>
      </c>
    </row>
    <row r="1832">
      <c r="A1832" t="inlineStr">
        <is>
          <t>2026.07.07當沖</t>
        </is>
      </c>
      <c r="B1832" t="inlineStr">
        <is>
          <t>買</t>
        </is>
      </c>
      <c r="C1832" s="80">
        <f>SUMIF(A1807:A1828,"&lt;0")</f>
        <v/>
      </c>
    </row>
    <row r="1833">
      <c r="A1833">
        <f>"SPY " &amp; COUNT(C1807:C1828) * 100 &amp; "股"</f>
        <v/>
      </c>
      <c r="B1833" t="inlineStr">
        <is>
          <t>賣</t>
        </is>
      </c>
      <c r="C1833" s="80">
        <f>SUMIF(A1807:A1828,"&gt;0")</f>
        <v/>
      </c>
    </row>
    <row r="1834">
      <c r="B1834" t="inlineStr">
        <is>
          <t>當日損益</t>
        </is>
      </c>
      <c r="C1834" s="80">
        <f>+C1832+C1833</f>
        <v/>
      </c>
    </row>
    <row r="1835">
      <c r="B1835" t="inlineStr">
        <is>
          <t>當日損益 %</t>
        </is>
      </c>
      <c r="C1835" s="45">
        <f>C1834/ABS(C1832)</f>
        <v/>
      </c>
    </row>
    <row r="1838">
      <c r="A1838" t="inlineStr">
        <is>
          <t>2026.07.08</t>
        </is>
      </c>
      <c r="B1838" t="n">
        <v>37502.04</v>
      </c>
      <c r="C1838" t="inlineStr">
        <is>
          <t>損益</t>
        </is>
      </c>
    </row>
    <row r="1839">
      <c r="A1839" t="n">
        <v>74341.95</v>
      </c>
      <c r="B1839">
        <f>+B1838+A1839</f>
        <v/>
      </c>
    </row>
    <row r="1840">
      <c r="A1840" t="n">
        <v>-74396.2</v>
      </c>
      <c r="B1840">
        <f>+B1839+A1840</f>
        <v/>
      </c>
      <c r="C1840" t="n">
        <v>-54.25</v>
      </c>
    </row>
    <row r="1841">
      <c r="A1841" t="n">
        <v>-74396.5</v>
      </c>
      <c r="B1841">
        <f>+B1840+A1841</f>
        <v/>
      </c>
    </row>
    <row r="1842">
      <c r="A1842" t="n">
        <v>74427.95</v>
      </c>
      <c r="B1842">
        <f>+B1841+A1842</f>
        <v/>
      </c>
      <c r="C1842" t="n">
        <v>31.45</v>
      </c>
    </row>
    <row r="1843">
      <c r="A1843" t="n">
        <v>-74370.5</v>
      </c>
      <c r="B1843">
        <f>+B1842+A1843</f>
        <v/>
      </c>
    </row>
    <row r="1844">
      <c r="A1844" t="n">
        <v>74365.95</v>
      </c>
      <c r="B1844">
        <f>+B1843+A1844</f>
        <v/>
      </c>
      <c r="C1844" t="n">
        <v>-4.55</v>
      </c>
    </row>
    <row r="1845">
      <c r="A1845" t="n">
        <v>-74245</v>
      </c>
      <c r="B1845">
        <f>+B1844+A1845</f>
        <v/>
      </c>
    </row>
    <row r="1846">
      <c r="A1846" t="n">
        <v>74163.45</v>
      </c>
      <c r="B1846">
        <f>+B1845+A1846</f>
        <v/>
      </c>
      <c r="C1846" t="n">
        <v>-81.55</v>
      </c>
    </row>
    <row r="1847">
      <c r="A1847" t="n">
        <v>-74141.5</v>
      </c>
      <c r="B1847">
        <f>+B1846+A1847</f>
        <v/>
      </c>
    </row>
    <row r="1848">
      <c r="A1848" t="n">
        <v>-74131.99000000001</v>
      </c>
      <c r="B1848">
        <f>+B1847+A1848</f>
        <v/>
      </c>
    </row>
    <row r="1849">
      <c r="A1849" t="n">
        <v>74092.45</v>
      </c>
      <c r="B1849">
        <f>+B1848+A1849</f>
        <v/>
      </c>
      <c r="C1849" t="n">
        <v>-39.54</v>
      </c>
    </row>
    <row r="1850">
      <c r="A1850" t="n">
        <v>74052.45</v>
      </c>
      <c r="B1850">
        <f>+B1849+A1850</f>
        <v/>
      </c>
      <c r="C1850" t="n">
        <v>-89.05</v>
      </c>
    </row>
    <row r="1851">
      <c r="A1851" t="n">
        <v>-74033.5</v>
      </c>
      <c r="B1851">
        <f>+B1850+A1851</f>
        <v/>
      </c>
    </row>
    <row r="1852">
      <c r="A1852" t="n">
        <v>74057.45</v>
      </c>
      <c r="B1852">
        <f>+B1851+A1852</f>
        <v/>
      </c>
      <c r="C1852" t="n">
        <v>23.95</v>
      </c>
    </row>
    <row r="1853">
      <c r="A1853" t="n">
        <v>-74025.5</v>
      </c>
      <c r="B1853">
        <f>+B1852+A1853</f>
        <v/>
      </c>
    </row>
    <row r="1854">
      <c r="A1854" t="n">
        <v>74064.97</v>
      </c>
      <c r="B1854">
        <f>+B1853+A1854</f>
        <v/>
      </c>
      <c r="C1854" t="n">
        <v>39.47</v>
      </c>
    </row>
    <row r="1855">
      <c r="A1855" t="n">
        <v>-74222.89999999999</v>
      </c>
      <c r="B1855">
        <f>+B1854+A1855</f>
        <v/>
      </c>
    </row>
    <row r="1856">
      <c r="A1856" t="n">
        <v>74251.95</v>
      </c>
      <c r="B1856">
        <f>+B1855+A1856</f>
        <v/>
      </c>
      <c r="C1856" t="n">
        <v>29.05</v>
      </c>
    </row>
    <row r="1857">
      <c r="B1857" t="inlineStr">
        <is>
          <t xml:space="preserve">合計 </t>
        </is>
      </c>
      <c r="C1857">
        <f>SUM(C1839:C1856)</f>
        <v/>
      </c>
    </row>
    <row r="1858">
      <c r="B1858" t="inlineStr">
        <is>
          <t>核驗</t>
        </is>
      </c>
      <c r="C1858">
        <f>+B1856-B1838</f>
        <v/>
      </c>
    </row>
    <row r="1860">
      <c r="A1860" t="inlineStr">
        <is>
          <t>2026.07.08當沖</t>
        </is>
      </c>
      <c r="B1860" t="inlineStr">
        <is>
          <t>買</t>
        </is>
      </c>
      <c r="C1860" s="80">
        <f>SUMIF(A1839:A1856,"&lt;0")</f>
        <v/>
      </c>
    </row>
    <row r="1861">
      <c r="A1861">
        <f>"SPY " &amp; COUNT(C1839:C1856) * 100 &amp; "股"</f>
        <v/>
      </c>
      <c r="B1861" t="inlineStr">
        <is>
          <t>賣</t>
        </is>
      </c>
      <c r="C1861" s="80">
        <f>SUMIF(A1839:A1856,"&gt;0")</f>
        <v/>
      </c>
    </row>
    <row r="1862">
      <c r="B1862" t="inlineStr">
        <is>
          <t>當日損益</t>
        </is>
      </c>
      <c r="C1862" s="80">
        <f>+C1860+C1861</f>
        <v/>
      </c>
    </row>
    <row r="1863">
      <c r="B1863" t="inlineStr">
        <is>
          <t>當日損益 %</t>
        </is>
      </c>
      <c r="C1863" s="45">
        <f>C1862/ABS(C1860)</f>
        <v/>
      </c>
    </row>
    <row r="1866">
      <c r="A1866" t="inlineStr">
        <is>
          <t>2026.07.09</t>
        </is>
      </c>
      <c r="B1866" s="81" t="n">
        <v>37534.57</v>
      </c>
      <c r="C1866" t="inlineStr">
        <is>
          <t>損益</t>
        </is>
      </c>
      <c r="D1866" t="inlineStr">
        <is>
          <t>本日平倉 06.16 留倉 100股</t>
        </is>
      </c>
    </row>
    <row r="1867">
      <c r="A1867" t="n">
        <v>-74809.50999999999</v>
      </c>
      <c r="B1867">
        <f>+B1866+A1867</f>
        <v/>
      </c>
    </row>
    <row r="1868">
      <c r="A1868" t="n">
        <v>74890.45</v>
      </c>
      <c r="B1868">
        <f>+B1867+A1868</f>
        <v/>
      </c>
      <c r="C1868" t="n">
        <v>80.94</v>
      </c>
    </row>
    <row r="1869">
      <c r="A1869" t="n">
        <v>-74888.5</v>
      </c>
      <c r="B1869">
        <f>+B1868+A1869</f>
        <v/>
      </c>
    </row>
    <row r="1870">
      <c r="A1870" t="n">
        <v>74883.8</v>
      </c>
      <c r="B1870">
        <f>+B1869+A1870</f>
        <v/>
      </c>
      <c r="C1870" t="n">
        <v>-4.7</v>
      </c>
    </row>
    <row r="1871">
      <c r="A1871" t="n">
        <v>-74873.19</v>
      </c>
      <c r="B1871">
        <f>+B1870+A1871</f>
        <v/>
      </c>
    </row>
    <row r="1872">
      <c r="A1872" t="n">
        <v>74805.56</v>
      </c>
      <c r="B1872">
        <f>+B1871+A1872</f>
        <v/>
      </c>
      <c r="C1872" t="n">
        <v>-67.63</v>
      </c>
    </row>
    <row r="1873">
      <c r="A1873" t="n">
        <v>-74768</v>
      </c>
      <c r="B1873">
        <f>+B1872+A1873</f>
        <v/>
      </c>
    </row>
    <row r="1874">
      <c r="A1874" t="n">
        <v>74760.45</v>
      </c>
      <c r="B1874">
        <f>+B1873+A1874</f>
        <v/>
      </c>
      <c r="C1874" t="n">
        <v>-7.55</v>
      </c>
    </row>
    <row r="1875">
      <c r="A1875" t="n">
        <v>-74811.5</v>
      </c>
      <c r="B1875">
        <f>+B1874+A1875</f>
        <v/>
      </c>
    </row>
    <row r="1876">
      <c r="A1876" t="n">
        <v>74838.45</v>
      </c>
      <c r="B1876">
        <f>+B1875+A1876</f>
        <v/>
      </c>
      <c r="C1876" t="n">
        <v>26.95</v>
      </c>
    </row>
    <row r="1877">
      <c r="A1877" t="n">
        <v>-74834.5</v>
      </c>
      <c r="B1877">
        <f>+B1876+A1877</f>
        <v/>
      </c>
    </row>
    <row r="1878">
      <c r="A1878" t="n">
        <v>74847.94</v>
      </c>
      <c r="B1878">
        <f>+B1877+A1878</f>
        <v/>
      </c>
      <c r="C1878" t="n">
        <v>13.44</v>
      </c>
    </row>
    <row r="1879">
      <c r="A1879" t="n">
        <v>-74867.66</v>
      </c>
      <c r="B1879">
        <f>+B1878+A1879</f>
        <v/>
      </c>
    </row>
    <row r="1880">
      <c r="A1880" t="n">
        <v>74890.94</v>
      </c>
      <c r="B1880">
        <f>+B1879+A1880</f>
        <v/>
      </c>
      <c r="C1880" t="n">
        <v>23.28</v>
      </c>
    </row>
    <row r="1881">
      <c r="A1881" t="n">
        <v>-74938</v>
      </c>
      <c r="B1881">
        <f>+B1880+A1881</f>
        <v/>
      </c>
    </row>
    <row r="1882">
      <c r="A1882" t="n">
        <v>-74919</v>
      </c>
      <c r="B1882">
        <f>+B1881+A1882</f>
        <v/>
      </c>
    </row>
    <row r="1883">
      <c r="A1883" t="n">
        <v>74931.44</v>
      </c>
      <c r="B1883">
        <f>+B1882+A1883</f>
        <v/>
      </c>
      <c r="C1883" t="n">
        <v>12.44</v>
      </c>
    </row>
    <row r="1884">
      <c r="A1884" s="82">
        <f>74977-1.56</f>
        <v/>
      </c>
      <c r="B1884">
        <f>+B1883+A1884</f>
        <v/>
      </c>
      <c r="C1884" t="n">
        <v>37.44</v>
      </c>
    </row>
    <row r="1885">
      <c r="A1885" t="n">
        <v>-74957</v>
      </c>
      <c r="B1885">
        <f>+B1884+A1885</f>
        <v/>
      </c>
    </row>
    <row r="1886">
      <c r="A1886" s="82">
        <f>74974-1.56</f>
        <v/>
      </c>
      <c r="B1886">
        <f>+B1885+A1886</f>
        <v/>
      </c>
      <c r="C1886" t="n">
        <v>15.44</v>
      </c>
    </row>
    <row r="1887">
      <c r="A1887" t="n">
        <v>-75073.82000000001</v>
      </c>
      <c r="B1887">
        <f>+B1886+A1887</f>
        <v/>
      </c>
    </row>
    <row r="1888">
      <c r="A1888" t="n">
        <v>75038.42999999999</v>
      </c>
      <c r="B1888">
        <f>+B1887+A1888</f>
        <v/>
      </c>
      <c r="C1888" t="n">
        <v>-35.39</v>
      </c>
    </row>
    <row r="1889">
      <c r="A1889" t="n">
        <v>-75133.28</v>
      </c>
      <c r="B1889">
        <f>+B1888+A1889</f>
        <v/>
      </c>
    </row>
    <row r="1890">
      <c r="A1890" t="n">
        <v>75134.25999999999</v>
      </c>
      <c r="B1890">
        <f>+B1889+A1890</f>
        <v/>
      </c>
      <c r="C1890" t="n">
        <v>0.98</v>
      </c>
    </row>
    <row r="1891">
      <c r="A1891" t="n">
        <v>75156.92999999999</v>
      </c>
      <c r="B1891">
        <f>+B1890+A1891</f>
        <v/>
      </c>
    </row>
    <row r="1892">
      <c r="B1892" t="inlineStr">
        <is>
          <t xml:space="preserve">合計 </t>
        </is>
      </c>
      <c r="C1892">
        <f>SUM(C1867:C1891)</f>
        <v/>
      </c>
    </row>
    <row r="1893">
      <c r="B1893" t="inlineStr">
        <is>
          <t>核驗</t>
        </is>
      </c>
      <c r="C1893">
        <f>+B1891-B1866-A1891</f>
        <v/>
      </c>
    </row>
    <row r="1895">
      <c r="A1895" t="inlineStr">
        <is>
          <t>2026.07.09當沖</t>
        </is>
      </c>
      <c r="B1895" t="inlineStr">
        <is>
          <t>買</t>
        </is>
      </c>
      <c r="C1895" s="82">
        <f>SUMIF(A1863:A1890,"&lt;0")</f>
        <v/>
      </c>
    </row>
    <row r="1896">
      <c r="A1896">
        <f>"SPY " &amp; COUNT(C1863:C1891) * 100 &amp; "股"</f>
        <v/>
      </c>
      <c r="B1896" t="inlineStr">
        <is>
          <t>賣</t>
        </is>
      </c>
      <c r="C1896" s="82">
        <f>SUMIF(A1863:A1890,"&gt;0")</f>
        <v/>
      </c>
    </row>
    <row r="1897">
      <c r="B1897" t="inlineStr">
        <is>
          <t>當日損益</t>
        </is>
      </c>
      <c r="C1897" s="82">
        <f>+C1895+C1896</f>
        <v/>
      </c>
    </row>
    <row r="1898">
      <c r="B1898" t="inlineStr">
        <is>
          <t>當日損益 %</t>
        </is>
      </c>
      <c r="C1898" s="45">
        <f>C1897/ABS(C1895)</f>
        <v/>
      </c>
    </row>
    <row r="1900">
      <c r="A1900" t="inlineStr">
        <is>
          <t>累積留倉   100股</t>
        </is>
      </c>
    </row>
    <row r="1901">
      <c r="A1901" t="inlineStr">
        <is>
          <t>2026.06.16 留倉</t>
        </is>
      </c>
      <c r="B1901" t="inlineStr">
        <is>
          <t>買 100股</t>
        </is>
      </c>
      <c r="C1901" s="80" t="n">
        <v>-75313</v>
      </c>
    </row>
    <row r="1902">
      <c r="A1902" t="inlineStr">
        <is>
          <t>2026.06.18 配息</t>
        </is>
      </c>
      <c r="B1902" s="83" t="n">
        <v>1.904</v>
      </c>
      <c r="C1902" s="80">
        <f>100*1.904*0.7</f>
        <v/>
      </c>
    </row>
    <row r="1903">
      <c r="A1903" s="41" t="inlineStr">
        <is>
          <t>2026.07.09 平倉</t>
        </is>
      </c>
      <c r="B1903" t="inlineStr">
        <is>
          <t>賣100股</t>
        </is>
      </c>
      <c r="C1903" s="71">
        <f>+A1891</f>
        <v/>
      </c>
    </row>
    <row r="1904">
      <c r="A1904" s="41" t="n"/>
      <c r="B1904" t="inlineStr">
        <is>
          <t>平倉損益</t>
        </is>
      </c>
      <c r="C1904" s="80">
        <f>+C1901+C1903+C1902</f>
        <v/>
      </c>
    </row>
    <row r="1905">
      <c r="A1905" s="41" t="n"/>
      <c r="B1905" t="inlineStr">
        <is>
          <t>平倉損益 %</t>
        </is>
      </c>
      <c r="C1905" s="42">
        <f>C1904/ABS(C1901)</f>
        <v/>
      </c>
    </row>
    <row r="1906">
      <c r="A1906" s="41" t="n"/>
      <c r="C1906" s="42" t="n"/>
    </row>
    <row r="1907">
      <c r="A1907" s="41" t="n"/>
      <c r="C1907" s="42" t="n"/>
    </row>
    <row r="1908">
      <c r="A1908" t="inlineStr">
        <is>
          <t>2026.07.10</t>
        </is>
      </c>
      <c r="B1908" t="n">
        <v>112487.41</v>
      </c>
      <c r="C1908" t="inlineStr">
        <is>
          <t>損益</t>
        </is>
      </c>
    </row>
    <row r="1909">
      <c r="A1909" t="n">
        <v>-75193.5</v>
      </c>
      <c r="B1909">
        <f>+B1908+A1909</f>
        <v/>
      </c>
    </row>
    <row r="1910">
      <c r="A1910" t="n">
        <v>75290.58</v>
      </c>
      <c r="B1910">
        <f>+B1909+A1910</f>
        <v/>
      </c>
      <c r="C1910" t="n">
        <v>97.08</v>
      </c>
    </row>
    <row r="1911">
      <c r="A1911" t="n">
        <v>-75284.52</v>
      </c>
      <c r="B1911">
        <f>+B1910+A1911</f>
        <v/>
      </c>
    </row>
    <row r="1912">
      <c r="A1912" t="n">
        <v>75288.44</v>
      </c>
      <c r="B1912">
        <f>+B1911+A1912</f>
        <v/>
      </c>
      <c r="C1912" t="n">
        <v>3.92</v>
      </c>
    </row>
    <row r="1913">
      <c r="B1913" t="inlineStr">
        <is>
          <t xml:space="preserve">合計 </t>
        </is>
      </c>
      <c r="C1913">
        <f>SUM(C1909:C1912)</f>
        <v/>
      </c>
    </row>
    <row r="1914">
      <c r="B1914" t="inlineStr">
        <is>
          <t>核驗</t>
        </is>
      </c>
      <c r="C1914">
        <f>+B1912-B1908</f>
        <v/>
      </c>
    </row>
    <row r="1916">
      <c r="A1916" t="inlineStr">
        <is>
          <t>2026.07.10當沖</t>
        </is>
      </c>
      <c r="B1916" t="inlineStr">
        <is>
          <t>買</t>
        </is>
      </c>
      <c r="C1916" s="80">
        <f>SUMIF(A1909:A1912,"&lt;0")</f>
        <v/>
      </c>
    </row>
    <row r="1917">
      <c r="A1917">
        <f>"SPY " &amp; COUNT(C1909:C1912) * 100 &amp; "股"</f>
        <v/>
      </c>
      <c r="B1917" t="inlineStr">
        <is>
          <t>賣</t>
        </is>
      </c>
      <c r="C1917" s="80">
        <f>SUMIF(A1909:A1912,"&gt;0")</f>
        <v/>
      </c>
    </row>
    <row r="1918">
      <c r="B1918" t="inlineStr">
        <is>
          <t>當日損益</t>
        </is>
      </c>
      <c r="C1918" s="80">
        <f>+C1916+C1917</f>
        <v/>
      </c>
    </row>
    <row r="1919">
      <c r="B1919" t="inlineStr">
        <is>
          <t>當日損益 %</t>
        </is>
      </c>
      <c r="C1919" s="45">
        <f>C1918/ABS(C1916)</f>
        <v/>
      </c>
    </row>
    <row r="1920">
      <c r="A1920" s="40" t="n"/>
      <c r="B1920" s="40" t="n"/>
      <c r="C1920" s="40" t="n"/>
    </row>
    <row r="1921">
      <c r="A1921" s="40" t="n"/>
      <c r="B1921" s="40" t="n"/>
      <c r="C1921" s="40" t="n"/>
    </row>
    <row r="1922">
      <c r="A1922" s="40" t="inlineStr">
        <is>
          <t>2026.07.13</t>
        </is>
      </c>
      <c r="B1922" s="40" t="n">
        <v>112642.12</v>
      </c>
      <c r="C1922" s="40" t="inlineStr">
        <is>
          <t>損益</t>
        </is>
      </c>
      <c r="D1922" s="40" t="n"/>
    </row>
    <row r="1923">
      <c r="A1923" s="40" t="n">
        <v>75305.42999999999</v>
      </c>
      <c r="B1923" s="40">
        <f>+B1922+A1923</f>
        <v/>
      </c>
      <c r="C1923" s="40" t="n"/>
      <c r="D1923" s="40" t="n"/>
    </row>
    <row r="1924">
      <c r="A1924" s="40" t="n">
        <v>-75072.73</v>
      </c>
      <c r="B1924" s="40">
        <f>+B1923+A1924</f>
        <v/>
      </c>
      <c r="C1924" s="40" t="n">
        <v>232.7</v>
      </c>
      <c r="D1924" s="40" t="n"/>
    </row>
    <row r="1925">
      <c r="A1925" s="40" t="n">
        <v>75275.42999999999</v>
      </c>
      <c r="B1925" s="40">
        <f>+B1924+A1925</f>
        <v/>
      </c>
      <c r="C1925" s="40" t="n"/>
      <c r="D1925" s="40" t="n"/>
    </row>
    <row r="1926">
      <c r="A1926" s="40" t="n">
        <v>-75304.98</v>
      </c>
      <c r="B1926" s="40">
        <f>+B1925+A1926</f>
        <v/>
      </c>
      <c r="C1926" s="40" t="n">
        <v>-29.55</v>
      </c>
      <c r="D1926" s="40" t="n"/>
    </row>
    <row r="1927">
      <c r="A1927" s="40" t="n">
        <v>-75193</v>
      </c>
      <c r="B1927" s="40">
        <f>+B1926+A1927</f>
        <v/>
      </c>
      <c r="C1927" s="40" t="n"/>
      <c r="D1927" s="40" t="n"/>
    </row>
    <row r="1928">
      <c r="A1928" s="40" t="n">
        <v>75152.92999999999</v>
      </c>
      <c r="B1928" s="40">
        <f>+B1927+A1928</f>
        <v/>
      </c>
      <c r="C1928" s="40" t="n">
        <v>-40.07</v>
      </c>
      <c r="D1928" s="40" t="n"/>
    </row>
    <row r="1929">
      <c r="A1929" s="40" t="n">
        <v>-75189</v>
      </c>
      <c r="B1929" s="40">
        <f>+B1928+A1929</f>
        <v/>
      </c>
      <c r="C1929" s="40" t="n"/>
      <c r="D1929" s="40" t="n"/>
    </row>
    <row r="1930">
      <c r="A1930" s="40" t="n">
        <v>75210.89</v>
      </c>
      <c r="B1930" s="40">
        <f>+B1929+A1930</f>
        <v/>
      </c>
      <c r="C1930" s="40" t="n">
        <v>21.89</v>
      </c>
      <c r="D1930" s="40" t="n"/>
    </row>
    <row r="1931">
      <c r="A1931" s="40" t="n">
        <v>-75212</v>
      </c>
      <c r="B1931" s="40">
        <f>+B1930+A1931</f>
        <v/>
      </c>
      <c r="C1931" s="40" t="n"/>
      <c r="D1931" s="40" t="n"/>
    </row>
    <row r="1932">
      <c r="A1932" s="40" t="n">
        <v>75213.08</v>
      </c>
      <c r="B1932" s="40">
        <f>+B1931+A1932</f>
        <v/>
      </c>
      <c r="C1932" s="40" t="n">
        <v>1.08</v>
      </c>
      <c r="D1932" s="40" t="n"/>
    </row>
    <row r="1933">
      <c r="A1933" s="40" t="n">
        <v>-75149</v>
      </c>
      <c r="B1933" s="40">
        <f>+B1932+A1933</f>
        <v/>
      </c>
      <c r="C1933" s="40" t="n"/>
      <c r="D1933" s="40" t="n"/>
    </row>
    <row r="1934">
      <c r="A1934" s="40" t="n">
        <v>75020.56</v>
      </c>
      <c r="B1934" s="40">
        <f>+B1933+A1934</f>
        <v/>
      </c>
      <c r="C1934" s="40" t="n">
        <v>-128.44</v>
      </c>
      <c r="D1934" s="40" t="n"/>
    </row>
    <row r="1935">
      <c r="A1935" s="40" t="n">
        <v>-75045.59</v>
      </c>
      <c r="B1935" s="40">
        <f>+B1934+A1935</f>
        <v/>
      </c>
      <c r="C1935" s="40" t="n"/>
      <c r="D1935" s="40" t="n"/>
    </row>
    <row r="1936">
      <c r="A1936" s="40" t="n">
        <v>75006.92999999999</v>
      </c>
      <c r="B1936" s="40">
        <f>+B1935+A1936</f>
        <v/>
      </c>
      <c r="C1936" s="40" t="n">
        <v>-38.66</v>
      </c>
      <c r="D1936" s="40" t="n"/>
    </row>
    <row r="1937">
      <c r="A1937" s="40" t="n">
        <v>-75017</v>
      </c>
      <c r="B1937" s="40">
        <f>+B1936+A1937</f>
        <v/>
      </c>
      <c r="C1937" s="40" t="n"/>
      <c r="D1937" s="40" t="n"/>
    </row>
    <row r="1938">
      <c r="A1938" s="40" t="n">
        <v>74999.42999999999</v>
      </c>
      <c r="B1938" s="40">
        <f>+B1937+A1938</f>
        <v/>
      </c>
      <c r="C1938" s="40" t="n">
        <v>-17.57</v>
      </c>
      <c r="D1938" s="40" t="n"/>
    </row>
    <row r="1939">
      <c r="A1939" s="40" t="n">
        <v>74991.50999999999</v>
      </c>
      <c r="B1939" s="40">
        <f>+B1938+A1939</f>
        <v/>
      </c>
      <c r="C1939" s="40" t="n"/>
      <c r="D1939" s="40" t="n"/>
    </row>
    <row r="1940">
      <c r="A1940" s="40" t="n">
        <v>-74969.99000000001</v>
      </c>
      <c r="B1940" s="40">
        <f>+B1939+A1940</f>
        <v/>
      </c>
      <c r="C1940" s="40" t="n">
        <v>21.52</v>
      </c>
      <c r="D1940" s="40" t="n"/>
    </row>
    <row r="1941">
      <c r="A1941" s="40" t="n"/>
      <c r="B1941" s="40" t="inlineStr">
        <is>
          <t xml:space="preserve">合計 </t>
        </is>
      </c>
      <c r="C1941" s="40">
        <f>SUM(C1923:C1940)</f>
        <v/>
      </c>
      <c r="D1941" s="40" t="n"/>
    </row>
    <row r="1942">
      <c r="A1942" s="40" t="n"/>
      <c r="B1942" s="40" t="inlineStr">
        <is>
          <t>核驗</t>
        </is>
      </c>
      <c r="C1942" s="40">
        <f>+B1940-B1922</f>
        <v/>
      </c>
      <c r="D1942" s="40" t="n"/>
    </row>
    <row r="1943">
      <c r="A1943" s="40" t="n"/>
      <c r="B1943" s="40" t="n"/>
      <c r="C1943" s="40" t="n"/>
      <c r="D1943" s="40" t="n"/>
    </row>
    <row r="1944">
      <c r="A1944" s="40" t="inlineStr">
        <is>
          <t>2026.07.13當沖</t>
        </is>
      </c>
      <c r="B1944" s="40" t="inlineStr">
        <is>
          <t>買</t>
        </is>
      </c>
      <c r="C1944" s="84">
        <f>SUMIF(A1923:A1940,"&lt;0")</f>
        <v/>
      </c>
      <c r="D1944" s="40" t="n"/>
    </row>
    <row r="1945">
      <c r="A1945" s="40">
        <f>"SPY " &amp; COUNT(C1923:C1940) * 100 &amp; "股"</f>
        <v/>
      </c>
      <c r="B1945" s="40" t="inlineStr">
        <is>
          <t>賣</t>
        </is>
      </c>
      <c r="C1945" s="84">
        <f>SUMIF(A1923:A1940,"&gt;0")</f>
        <v/>
      </c>
      <c r="D1945" s="40" t="n"/>
    </row>
    <row r="1946">
      <c r="A1946" s="40" t="n"/>
      <c r="B1946" s="40" t="inlineStr">
        <is>
          <t>當日損益</t>
        </is>
      </c>
      <c r="C1946" s="84">
        <f>+C1944+C1945</f>
        <v/>
      </c>
      <c r="D1946" s="40" t="n"/>
    </row>
    <row r="1947">
      <c r="A1947" s="40" t="n"/>
      <c r="B1947" s="40" t="inlineStr">
        <is>
          <t>當日損益 %</t>
        </is>
      </c>
      <c r="C1947" s="39">
        <f>C1946/ABS(C1944)</f>
        <v/>
      </c>
      <c r="D1947" s="40" t="n"/>
    </row>
    <row r="1950">
      <c r="A1950" t="inlineStr">
        <is>
          <t>2026.07.14</t>
        </is>
      </c>
      <c r="B1950" t="n">
        <v>112743.12</v>
      </c>
      <c r="C1950" t="inlineStr">
        <is>
          <t>損益</t>
        </is>
      </c>
    </row>
    <row r="1951">
      <c r="A1951" t="n">
        <v>75130.42999999999</v>
      </c>
      <c r="B1951">
        <f>+B1950+A1951</f>
        <v/>
      </c>
    </row>
    <row r="1952">
      <c r="A1952" t="n">
        <v>-75072.28</v>
      </c>
      <c r="B1952">
        <f>+B1951+A1952</f>
        <v/>
      </c>
      <c r="C1952" t="n">
        <v>58.15</v>
      </c>
    </row>
    <row r="1953">
      <c r="A1953" t="n">
        <v>75014.94</v>
      </c>
      <c r="B1953">
        <f>+B1952+A1953</f>
        <v/>
      </c>
    </row>
    <row r="1954">
      <c r="A1954" t="n">
        <v>-74996.99000000001</v>
      </c>
      <c r="B1954">
        <f>+B1953+A1954</f>
        <v/>
      </c>
      <c r="C1954" t="n">
        <v>17.95</v>
      </c>
    </row>
    <row r="1955">
      <c r="A1955" t="n">
        <v>75198.49000000001</v>
      </c>
      <c r="B1955">
        <f>+B1954+A1955</f>
        <v/>
      </c>
    </row>
    <row r="1956">
      <c r="A1956" t="n">
        <v>-75087.91</v>
      </c>
      <c r="B1956">
        <f>+B1955+A1956</f>
        <v/>
      </c>
      <c r="C1956" t="n">
        <v>110.58</v>
      </c>
    </row>
    <row r="1957">
      <c r="A1957" t="n">
        <v>75140.42999999999</v>
      </c>
      <c r="B1957">
        <f>+B1956+A1957</f>
        <v/>
      </c>
    </row>
    <row r="1958">
      <c r="A1958" t="n">
        <v>-75160</v>
      </c>
      <c r="B1958">
        <f>+B1957+A1958</f>
        <v/>
      </c>
      <c r="C1958" t="n">
        <v>-19.57</v>
      </c>
    </row>
    <row r="1959">
      <c r="A1959" t="n">
        <v>-75152.89999999999</v>
      </c>
      <c r="B1959">
        <f>+B1958+A1959</f>
        <v/>
      </c>
    </row>
    <row r="1960">
      <c r="A1960" t="n">
        <v>75159.42999999999</v>
      </c>
      <c r="B1960">
        <f>+B1959+A1960</f>
        <v/>
      </c>
      <c r="C1960" t="n">
        <v>6.53</v>
      </c>
    </row>
    <row r="1961">
      <c r="B1961" t="inlineStr">
        <is>
          <t xml:space="preserve">合計 </t>
        </is>
      </c>
      <c r="C1961">
        <f>SUM(C1951:C1960)</f>
        <v/>
      </c>
    </row>
    <row r="1962">
      <c r="B1962" t="inlineStr">
        <is>
          <t>核驗</t>
        </is>
      </c>
      <c r="C1962">
        <f>+B1960-B1950</f>
        <v/>
      </c>
    </row>
    <row r="1964">
      <c r="A1964" t="inlineStr">
        <is>
          <t>2026.07.14當沖</t>
        </is>
      </c>
      <c r="B1964" t="inlineStr">
        <is>
          <t>買</t>
        </is>
      </c>
      <c r="C1964" s="80">
        <f>SUMIF(A1951:A1960,"&lt;0")</f>
        <v/>
      </c>
    </row>
    <row r="1965">
      <c r="A1965">
        <f>"SPY " &amp; COUNT(C1951:C1960) * 100 &amp; "股"</f>
        <v/>
      </c>
      <c r="B1965" t="inlineStr">
        <is>
          <t>賣</t>
        </is>
      </c>
      <c r="C1965" s="80">
        <f>SUMIF(A1951:A1960,"&gt;0")</f>
        <v/>
      </c>
    </row>
    <row r="1966">
      <c r="B1966" t="inlineStr">
        <is>
          <t>當日損益</t>
        </is>
      </c>
      <c r="C1966" s="80">
        <f>+C1964+C1965</f>
        <v/>
      </c>
    </row>
    <row r="1967">
      <c r="B1967" t="inlineStr">
        <is>
          <t>當日損益 %</t>
        </is>
      </c>
      <c r="C1967" s="45">
        <f>C1966/ABS(C1964)</f>
        <v/>
      </c>
    </row>
    <row r="1970">
      <c r="A1970" t="inlineStr">
        <is>
          <t>2026.07.15</t>
        </is>
      </c>
      <c r="B1970" t="n">
        <v>112916.76</v>
      </c>
      <c r="C1970" t="inlineStr">
        <is>
          <t>損益</t>
        </is>
      </c>
    </row>
    <row r="1971">
      <c r="A1971" t="n">
        <v>-75483.48</v>
      </c>
      <c r="B1971">
        <f>+B1970+A1971</f>
        <v/>
      </c>
    </row>
    <row r="1972">
      <c r="A1972" t="n">
        <v>-75374</v>
      </c>
      <c r="B1972">
        <f>+B1971+A1972</f>
        <v/>
      </c>
    </row>
    <row r="1973">
      <c r="A1973" t="n">
        <v>75340.94</v>
      </c>
      <c r="B1973">
        <f>+B1972+A1973</f>
        <v/>
      </c>
      <c r="C1973" t="n">
        <v>-33.06</v>
      </c>
    </row>
    <row r="1974">
      <c r="A1974" t="n">
        <v>-75371.77</v>
      </c>
      <c r="B1974">
        <f>+B1973+A1974</f>
        <v/>
      </c>
    </row>
    <row r="1975">
      <c r="A1975" t="n">
        <v>75496.42</v>
      </c>
      <c r="B1975">
        <f>+B1974+A1975</f>
        <v/>
      </c>
      <c r="C1975" t="n">
        <v>124.65</v>
      </c>
    </row>
    <row r="1976">
      <c r="A1976" t="n">
        <v>75536.42999999999</v>
      </c>
      <c r="B1976">
        <f>+B1975+A1976</f>
        <v/>
      </c>
      <c r="C1976" t="n">
        <v>52.95</v>
      </c>
    </row>
    <row r="1977">
      <c r="A1977" t="n">
        <v>-75317</v>
      </c>
      <c r="B1977">
        <f>+B1976+A1977</f>
        <v/>
      </c>
    </row>
    <row r="1978">
      <c r="A1978" t="n">
        <v>75333.92999999999</v>
      </c>
      <c r="B1978">
        <f>+B1977+A1978</f>
        <v/>
      </c>
      <c r="C1978" t="n">
        <v>16.93</v>
      </c>
    </row>
    <row r="1979">
      <c r="A1979" t="n">
        <v>-75344.67</v>
      </c>
      <c r="B1979">
        <f>+B1978+A1979</f>
        <v/>
      </c>
    </row>
    <row r="1980">
      <c r="A1980" t="n">
        <v>75337.44</v>
      </c>
      <c r="B1980">
        <f>+B1979+A1980</f>
        <v/>
      </c>
      <c r="C1980" t="n">
        <v>-7.23</v>
      </c>
    </row>
    <row r="1981">
      <c r="A1981" t="n">
        <v>-75298</v>
      </c>
      <c r="B1981">
        <f>+B1980+A1981</f>
        <v/>
      </c>
    </row>
    <row r="1982">
      <c r="A1982" t="n">
        <v>75329.42999999999</v>
      </c>
      <c r="B1982">
        <f>+B1981+A1982</f>
        <v/>
      </c>
      <c r="C1982" t="n">
        <v>31.43</v>
      </c>
    </row>
    <row r="1983">
      <c r="A1983" t="n">
        <v>-75340.89999999999</v>
      </c>
      <c r="B1983">
        <f>+B1982+A1983</f>
        <v/>
      </c>
    </row>
    <row r="1984">
      <c r="A1984" t="n">
        <v>75323.07000000001</v>
      </c>
      <c r="B1984">
        <f>+B1983+A1984</f>
        <v/>
      </c>
      <c r="C1984" t="n">
        <v>-17.83</v>
      </c>
    </row>
    <row r="1985">
      <c r="B1985" t="inlineStr">
        <is>
          <t xml:space="preserve">合計 </t>
        </is>
      </c>
      <c r="C1985">
        <f>SUM(C1971:C1984)</f>
        <v/>
      </c>
    </row>
    <row r="1986">
      <c r="B1986" t="inlineStr">
        <is>
          <t>核驗</t>
        </is>
      </c>
      <c r="C1986">
        <f>+B1984-B1970</f>
        <v/>
      </c>
    </row>
    <row r="1988">
      <c r="A1988" t="inlineStr">
        <is>
          <t>2026.07.15當沖</t>
        </is>
      </c>
      <c r="B1988" t="inlineStr">
        <is>
          <t>買</t>
        </is>
      </c>
      <c r="C1988" s="80">
        <f>SUMIF(A1971:A1984,"&lt;0")</f>
        <v/>
      </c>
    </row>
    <row r="1989">
      <c r="A1989">
        <f>"SPY " &amp; COUNT(C1971:C1984) * 100 &amp; "股"</f>
        <v/>
      </c>
      <c r="B1989" t="inlineStr">
        <is>
          <t>賣</t>
        </is>
      </c>
      <c r="C1989" s="80">
        <f>SUMIF(A1971:A1984,"&gt;0")</f>
        <v/>
      </c>
    </row>
    <row r="1990">
      <c r="B1990" t="inlineStr">
        <is>
          <t>當日損益</t>
        </is>
      </c>
      <c r="C1990" s="80">
        <f>+C1988+C1989</f>
        <v/>
      </c>
    </row>
    <row r="1991">
      <c r="B1991" t="inlineStr">
        <is>
          <t>當日損益 %</t>
        </is>
      </c>
      <c r="C1991" s="45">
        <f>C1990/ABS(C1988)</f>
        <v/>
      </c>
    </row>
    <row r="1994">
      <c r="A1994" t="inlineStr">
        <is>
          <t>2026.07.16</t>
        </is>
      </c>
      <c r="B1994" t="n">
        <v>112939.66</v>
      </c>
      <c r="C1994" t="inlineStr">
        <is>
          <t>損益</t>
        </is>
      </c>
    </row>
    <row r="1995">
      <c r="A1995" t="n">
        <v>-75149.5</v>
      </c>
      <c r="B1995">
        <f>+B1994+A1995</f>
        <v/>
      </c>
    </row>
    <row r="1996">
      <c r="A1996" t="n">
        <v>75084.44</v>
      </c>
      <c r="B1996">
        <f>+B1995+A1996</f>
        <v/>
      </c>
      <c r="C1996" s="80" t="n">
        <v>-65.06</v>
      </c>
    </row>
    <row r="1997">
      <c r="A1997" t="n">
        <v>-75186.5</v>
      </c>
      <c r="B1997">
        <f>+B1996+A1997</f>
        <v/>
      </c>
    </row>
    <row r="1998">
      <c r="A1998" t="n">
        <v>75169.42999999999</v>
      </c>
      <c r="B1998">
        <f>+B1997+A1998</f>
        <v/>
      </c>
      <c r="C1998" s="80" t="n">
        <v>-17.07</v>
      </c>
    </row>
    <row r="1999">
      <c r="A1999" t="n">
        <v>75167.42999999999</v>
      </c>
      <c r="B1999">
        <f>+B1998+A1999</f>
        <v/>
      </c>
    </row>
    <row r="2000">
      <c r="A2000" t="n">
        <v>-75230</v>
      </c>
      <c r="B2000">
        <f>+B1999+A2000</f>
        <v/>
      </c>
      <c r="C2000" s="80" t="n">
        <v>-62.57</v>
      </c>
    </row>
    <row r="2001">
      <c r="A2001" t="n">
        <v>75264.92999999999</v>
      </c>
      <c r="B2001">
        <f>+B2000+A2001</f>
        <v/>
      </c>
    </row>
    <row r="2002">
      <c r="A2002" t="n">
        <v>-75285</v>
      </c>
      <c r="B2002">
        <f>+B2001+A2002</f>
        <v/>
      </c>
      <c r="C2002" s="80" t="n">
        <v>-20.07</v>
      </c>
    </row>
    <row r="2003">
      <c r="A2003" t="n">
        <v>-75359.5</v>
      </c>
      <c r="B2003">
        <f>+B2002+A2003</f>
        <v/>
      </c>
    </row>
    <row r="2004">
      <c r="A2004" t="n">
        <v>75350.94</v>
      </c>
      <c r="B2004">
        <f>+B2003+A2004</f>
        <v/>
      </c>
      <c r="C2004" s="80" t="n">
        <v>-8.56</v>
      </c>
    </row>
    <row r="2005">
      <c r="A2005" t="n">
        <v>70997.10000000001</v>
      </c>
      <c r="B2005">
        <f>+B2004+A2005</f>
        <v/>
      </c>
    </row>
    <row r="2006">
      <c r="A2006" t="n">
        <v>-70977.64</v>
      </c>
      <c r="B2006">
        <f>+B2005+A2006</f>
        <v/>
      </c>
      <c r="C2006" s="80" t="n">
        <v>19.46</v>
      </c>
    </row>
    <row r="2007">
      <c r="A2007" t="n">
        <v>-75375.98</v>
      </c>
      <c r="B2007">
        <f>+B2006+A2007</f>
        <v/>
      </c>
    </row>
    <row r="2008">
      <c r="A2008" t="n">
        <v>75407.45</v>
      </c>
      <c r="B2008">
        <f>+B2007+A2008</f>
        <v/>
      </c>
      <c r="C2008" s="80" t="n">
        <v>31.47</v>
      </c>
    </row>
    <row r="2009">
      <c r="A2009" t="n">
        <v>-75344</v>
      </c>
      <c r="B2009">
        <f>+B2008+A2009</f>
        <v/>
      </c>
    </row>
    <row r="2010">
      <c r="A2010" t="n">
        <v>75374.42999999999</v>
      </c>
      <c r="B2010">
        <f>+B2009+A2010</f>
        <v/>
      </c>
      <c r="C2010" s="80" t="n">
        <v>30.43</v>
      </c>
    </row>
    <row r="2011">
      <c r="A2011" t="n">
        <v>-75340.5</v>
      </c>
      <c r="B2011">
        <f>+B2010+A2011</f>
        <v/>
      </c>
    </row>
    <row r="2012">
      <c r="A2012" t="n">
        <v>-75323.92999999999</v>
      </c>
      <c r="B2012">
        <f>+B2011+A2012</f>
        <v/>
      </c>
    </row>
    <row r="2013">
      <c r="A2013" t="n">
        <v>75363.44</v>
      </c>
      <c r="B2013">
        <f>+B2012+A2013</f>
        <v/>
      </c>
      <c r="C2013" s="80" t="n">
        <v>39.51</v>
      </c>
    </row>
    <row r="2014">
      <c r="A2014" t="n">
        <v>75368.42999999999</v>
      </c>
      <c r="B2014">
        <f>+B2013+A2014</f>
        <v/>
      </c>
      <c r="C2014" s="80" t="n">
        <v>27.93</v>
      </c>
    </row>
    <row r="2015">
      <c r="A2015" t="n">
        <v>-75330</v>
      </c>
      <c r="B2015">
        <f>+B2014+A2015</f>
        <v/>
      </c>
    </row>
    <row r="2016">
      <c r="A2016" t="n">
        <v>75324.49000000001</v>
      </c>
      <c r="B2016">
        <f>+B2015+A2016</f>
        <v/>
      </c>
      <c r="C2016" s="80" t="n">
        <v>-5.51</v>
      </c>
    </row>
    <row r="2017">
      <c r="A2017" t="n">
        <v>-75342.13</v>
      </c>
      <c r="B2017">
        <f>+B2016+A2017</f>
        <v/>
      </c>
    </row>
    <row r="2018">
      <c r="A2018" t="n">
        <v>75364.42999999999</v>
      </c>
      <c r="B2018">
        <f>+B2017+A2018</f>
        <v/>
      </c>
      <c r="C2018" s="80" t="n">
        <v>22.3</v>
      </c>
    </row>
    <row r="2019">
      <c r="A2019" t="n">
        <v>-75357.57000000001</v>
      </c>
      <c r="B2019">
        <f>+B2018+A2019</f>
        <v/>
      </c>
    </row>
    <row r="2020">
      <c r="A2020" t="n">
        <v>75354.39</v>
      </c>
      <c r="B2020">
        <f>+B2019+A2020</f>
        <v/>
      </c>
      <c r="C2020" s="80" t="n">
        <v>-3.18</v>
      </c>
    </row>
    <row r="2021">
      <c r="A2021" t="n">
        <v>-75360.2</v>
      </c>
      <c r="B2021">
        <f>+B2020+A2021</f>
        <v/>
      </c>
    </row>
    <row r="2022">
      <c r="A2022" t="n">
        <v>-75170.5</v>
      </c>
      <c r="B2022">
        <f>+B2021+A2022</f>
        <v/>
      </c>
    </row>
    <row r="2023">
      <c r="A2023" t="n">
        <v>-75150.69</v>
      </c>
      <c r="B2023">
        <f>+B2022+A2023</f>
        <v/>
      </c>
    </row>
    <row r="2024">
      <c r="A2024" t="n">
        <v>75248.42999999999</v>
      </c>
      <c r="B2024">
        <f>+B2023+A2024</f>
        <v/>
      </c>
      <c r="C2024" s="80" t="n">
        <v>97.73999999999999</v>
      </c>
    </row>
    <row r="2025">
      <c r="A2025" t="n">
        <v>75231.44</v>
      </c>
      <c r="B2025">
        <f>+B2024+A2025</f>
        <v/>
      </c>
      <c r="C2025" s="80" t="n">
        <v>60.94</v>
      </c>
    </row>
    <row r="2026">
      <c r="A2026" t="n">
        <v>-74906</v>
      </c>
      <c r="B2026">
        <f>+B2025+A2026</f>
        <v/>
      </c>
    </row>
    <row r="2027">
      <c r="A2027" t="n">
        <v>74869.28999999999</v>
      </c>
      <c r="B2027">
        <f>+B2026+A2027</f>
        <v/>
      </c>
      <c r="C2027" s="80" t="n">
        <v>-36.71</v>
      </c>
    </row>
    <row r="2028">
      <c r="A2028" t="n">
        <v>-74876.99000000001</v>
      </c>
      <c r="B2028">
        <f>+B2027+A2028</f>
        <v/>
      </c>
    </row>
    <row r="2029">
      <c r="A2029" t="n">
        <v>74846.47</v>
      </c>
      <c r="B2029">
        <f>+B2028+A2029</f>
        <v/>
      </c>
      <c r="C2029" s="80" t="n">
        <v>-30.52</v>
      </c>
    </row>
    <row r="2030">
      <c r="A2030" t="n">
        <v>-74867.92999999999</v>
      </c>
      <c r="B2030">
        <f>+B2029+A2030</f>
        <v/>
      </c>
      <c r="C2030" s="80" t="n"/>
    </row>
    <row r="2031">
      <c r="A2031" t="n">
        <v>74891.39999999999</v>
      </c>
      <c r="B2031">
        <f>+B2030+A2031</f>
        <v/>
      </c>
      <c r="C2031" s="80" t="n">
        <v>23.47</v>
      </c>
    </row>
    <row r="2032">
      <c r="B2032" t="inlineStr">
        <is>
          <t xml:space="preserve">合計 </t>
        </is>
      </c>
      <c r="C2032" s="45">
        <f>SUM(C1995:C2031)</f>
        <v/>
      </c>
    </row>
    <row r="2033">
      <c r="B2033" t="inlineStr">
        <is>
          <t>核驗</t>
        </is>
      </c>
      <c r="C2033">
        <f>+B2031-B1994-A2021</f>
        <v/>
      </c>
    </row>
    <row r="2034">
      <c r="C2034" s="80" t="n"/>
    </row>
    <row r="2035">
      <c r="A2035" t="inlineStr">
        <is>
          <t>2026.07.16當沖</t>
        </is>
      </c>
      <c r="B2035" t="inlineStr">
        <is>
          <t>買</t>
        </is>
      </c>
      <c r="C2035" s="80">
        <f>SUMIF(A1995:A2031,"&lt;0")-A2021-A2006</f>
        <v/>
      </c>
    </row>
    <row r="2036">
      <c r="A2036">
        <f>"SPY " &amp; (COUNT(C1995:C2031)-1) * 100 &amp; "股"</f>
        <v/>
      </c>
      <c r="B2036" t="inlineStr">
        <is>
          <t>賣</t>
        </is>
      </c>
      <c r="C2036" s="80">
        <f>SUMIF(A1995:A2031,"&gt;0")-A2005</f>
        <v/>
      </c>
    </row>
    <row r="2037">
      <c r="B2037" t="inlineStr">
        <is>
          <t>當日損益</t>
        </is>
      </c>
      <c r="C2037" s="80">
        <f>+C2035+C2036</f>
        <v/>
      </c>
    </row>
    <row r="2038">
      <c r="B2038" t="inlineStr">
        <is>
          <t>當日損益 %</t>
        </is>
      </c>
      <c r="C2038" s="45">
        <f>C2037/ABS(C2035)</f>
        <v/>
      </c>
    </row>
    <row r="2040">
      <c r="A2040" t="inlineStr">
        <is>
          <t>2026.07.16 當沖</t>
        </is>
      </c>
      <c r="B2040" t="inlineStr">
        <is>
          <t>買</t>
        </is>
      </c>
      <c r="C2040" s="80">
        <f>SUMIF(A2005:A2006,"&lt;0")</f>
        <v/>
      </c>
    </row>
    <row r="2041">
      <c r="A2041">
        <f>"QQQ "&amp;COUNT(C2005:C2006)*100&amp;"股"</f>
        <v/>
      </c>
      <c r="B2041" t="inlineStr">
        <is>
          <t>賣</t>
        </is>
      </c>
      <c r="C2041" s="80">
        <f>SUMIF(A2005:A2006,"&gt;0")</f>
        <v/>
      </c>
    </row>
    <row r="2042">
      <c r="B2042" t="inlineStr">
        <is>
          <t>當日損益</t>
        </is>
      </c>
      <c r="C2042" s="80">
        <f>+C2040+C2041</f>
        <v/>
      </c>
    </row>
    <row r="2043">
      <c r="B2043" t="inlineStr">
        <is>
          <t>當日損益 %</t>
        </is>
      </c>
      <c r="C2043" s="45">
        <f>C2042/ABS(C2040)</f>
        <v/>
      </c>
    </row>
    <row r="2045">
      <c r="A2045" t="inlineStr">
        <is>
          <t>累積留倉   100股</t>
        </is>
      </c>
    </row>
    <row r="2046">
      <c r="A2046" t="inlineStr">
        <is>
          <t>2026.07.16 留倉</t>
        </is>
      </c>
      <c r="B2046" t="inlineStr">
        <is>
          <t>買 100股</t>
        </is>
      </c>
      <c r="C2046" s="80" t="n">
        <v>-75360.2</v>
      </c>
    </row>
    <row r="2049">
      <c r="A2049" t="inlineStr">
        <is>
          <t>07/17(五)</t>
        </is>
      </c>
      <c r="B2049" t="n">
        <v>37677.66</v>
      </c>
      <c r="C2049" t="inlineStr">
        <is>
          <t>損益</t>
        </is>
      </c>
    </row>
    <row r="2050">
      <c r="A2050" t="n">
        <v>-74404</v>
      </c>
      <c r="B2050">
        <f>+B2049+A2050</f>
        <v/>
      </c>
    </row>
    <row r="2051">
      <c r="A2051" t="n">
        <v>74397.45</v>
      </c>
      <c r="B2051">
        <f>+B2050+A2051</f>
        <v/>
      </c>
      <c r="C2051" s="80" t="n">
        <v>-6.55</v>
      </c>
    </row>
    <row r="2052">
      <c r="A2052" t="n">
        <v>-74480.5</v>
      </c>
      <c r="B2052">
        <f>+B2051+A2052</f>
        <v/>
      </c>
    </row>
    <row r="2053">
      <c r="A2053" t="n">
        <v>74547.94</v>
      </c>
      <c r="B2053">
        <f>+B2052+A2053</f>
        <v/>
      </c>
      <c r="C2053" s="80" t="n">
        <v>67.44</v>
      </c>
    </row>
    <row r="2054">
      <c r="A2054" t="n">
        <v>-74595</v>
      </c>
      <c r="B2054">
        <f>+B2053+A2054</f>
        <v/>
      </c>
    </row>
    <row r="2055">
      <c r="A2055" t="n">
        <v>74599.94</v>
      </c>
      <c r="B2055">
        <f>+B2054+A2055</f>
        <v/>
      </c>
      <c r="C2055" s="80" t="n">
        <v>4.94</v>
      </c>
    </row>
    <row r="2056">
      <c r="A2056" t="n">
        <v>-74657</v>
      </c>
      <c r="B2056">
        <f>+B2055+A2056</f>
        <v/>
      </c>
    </row>
    <row r="2057">
      <c r="A2057" t="n">
        <v>74585.44</v>
      </c>
      <c r="B2057">
        <f>+B2056+A2057</f>
        <v/>
      </c>
      <c r="C2057" s="80" t="n">
        <v>-71.56</v>
      </c>
    </row>
    <row r="2058">
      <c r="A2058" t="n">
        <v>-74579.95</v>
      </c>
      <c r="B2058">
        <f>+B2057+A2058</f>
        <v/>
      </c>
    </row>
    <row r="2059">
      <c r="A2059" t="n">
        <v>-74421.5</v>
      </c>
      <c r="B2059">
        <f>+B2058+A2059</f>
        <v/>
      </c>
    </row>
    <row r="2060">
      <c r="A2060" t="n">
        <v>74491.46000000001</v>
      </c>
      <c r="B2060">
        <f>+B2059+A2060</f>
        <v/>
      </c>
      <c r="C2060" s="80" t="n">
        <v>69.95999999999999</v>
      </c>
    </row>
    <row r="2061">
      <c r="A2061" t="n">
        <v>74516.45</v>
      </c>
      <c r="B2061">
        <f>+B2060+A2061</f>
        <v/>
      </c>
      <c r="C2061" s="80" t="n">
        <v>-63.5</v>
      </c>
    </row>
    <row r="2062">
      <c r="A2062" t="n">
        <v>-74413.41</v>
      </c>
      <c r="B2062">
        <f>+B2061+A2062</f>
        <v/>
      </c>
    </row>
    <row r="2063">
      <c r="A2063" t="n">
        <v>-74441.53999999999</v>
      </c>
      <c r="B2063">
        <f>+B2062+A2063</f>
        <v/>
      </c>
    </row>
    <row r="2064">
      <c r="A2064" t="n">
        <v>74477.2</v>
      </c>
      <c r="B2064">
        <f>+B2063+A2064</f>
        <v/>
      </c>
      <c r="C2064" s="80" t="n">
        <v>35.66</v>
      </c>
    </row>
    <row r="2065">
      <c r="A2065" t="n">
        <v>74483.46000000001</v>
      </c>
      <c r="B2065">
        <f>+B2064+A2065</f>
        <v/>
      </c>
      <c r="C2065" s="80" t="n">
        <v>70.05</v>
      </c>
    </row>
    <row r="2066">
      <c r="A2066" t="n">
        <v>-74492</v>
      </c>
      <c r="B2066">
        <f>+B2065+A2066</f>
        <v/>
      </c>
    </row>
    <row r="2067">
      <c r="A2067" t="n">
        <v>74536.85000000001</v>
      </c>
      <c r="B2067">
        <f>+B2066+A2067</f>
        <v/>
      </c>
      <c r="C2067" s="80" t="n">
        <v>44.85</v>
      </c>
    </row>
    <row r="2068">
      <c r="A2068" t="n">
        <v>-74503.5</v>
      </c>
      <c r="B2068">
        <f>+B2067+A2068</f>
        <v/>
      </c>
    </row>
    <row r="2069">
      <c r="A2069" t="n">
        <v>74544.44</v>
      </c>
      <c r="B2069">
        <f>+B2068+A2069</f>
        <v/>
      </c>
      <c r="C2069" s="80" t="n">
        <v>40.94</v>
      </c>
    </row>
    <row r="2070">
      <c r="A2070" t="n">
        <v>-74537</v>
      </c>
      <c r="B2070">
        <f>+B2069+A2070</f>
        <v/>
      </c>
    </row>
    <row r="2071">
      <c r="A2071" t="n">
        <v>74553.5</v>
      </c>
      <c r="B2071">
        <f>+B2070+A2071</f>
        <v/>
      </c>
      <c r="C2071" s="80" t="n">
        <v>16.5</v>
      </c>
    </row>
    <row r="2072">
      <c r="A2072" t="n">
        <v>-74543.5</v>
      </c>
      <c r="B2072">
        <f>+B2071+A2072</f>
        <v/>
      </c>
    </row>
    <row r="2073">
      <c r="A2073" t="n">
        <v>74554.44</v>
      </c>
      <c r="B2073">
        <f>+B2072+A2073</f>
        <v/>
      </c>
      <c r="C2073" s="80" t="n">
        <v>10.94</v>
      </c>
    </row>
    <row r="2074">
      <c r="A2074" t="n">
        <v>-74602.99000000001</v>
      </c>
      <c r="B2074">
        <f>+B2073+A2074</f>
        <v/>
      </c>
    </row>
    <row r="2075">
      <c r="A2075" t="n">
        <v>74617.89999999999</v>
      </c>
      <c r="B2075">
        <f>+B2074+A2075</f>
        <v/>
      </c>
      <c r="C2075" s="80" t="n">
        <v>14.91</v>
      </c>
    </row>
    <row r="2076">
      <c r="A2076" t="n">
        <v>-74627.92</v>
      </c>
      <c r="B2076">
        <f>+B2075+A2076</f>
        <v/>
      </c>
    </row>
    <row r="2077">
      <c r="A2077" t="n">
        <v>74618.94</v>
      </c>
      <c r="B2077">
        <f>+B2076+A2077</f>
        <v/>
      </c>
      <c r="C2077" s="80" t="n">
        <v>-8.98</v>
      </c>
    </row>
    <row r="2078">
      <c r="A2078" t="n">
        <v>-74698</v>
      </c>
      <c r="B2078">
        <f>+B2077+A2078</f>
        <v/>
      </c>
    </row>
    <row r="2079">
      <c r="A2079" t="n">
        <v>-74686.23</v>
      </c>
      <c r="B2079">
        <f>+B2078+A2079</f>
        <v/>
      </c>
    </row>
    <row r="2080">
      <c r="A2080" t="n">
        <v>74689.72</v>
      </c>
      <c r="B2080">
        <f>+B2079+A2080</f>
        <v/>
      </c>
      <c r="C2080" s="80" t="n">
        <v>3.49</v>
      </c>
    </row>
    <row r="2081">
      <c r="A2081" t="n">
        <v>74697.89999999999</v>
      </c>
      <c r="B2081">
        <f>+B2080+A2081</f>
        <v/>
      </c>
      <c r="C2081" s="80" t="n">
        <v>-0.1</v>
      </c>
    </row>
    <row r="2082">
      <c r="A2082" t="n">
        <v>-74550</v>
      </c>
      <c r="B2082">
        <f>+B2081+A2082</f>
        <v/>
      </c>
    </row>
    <row r="2083">
      <c r="A2083" t="n">
        <v>74524.94</v>
      </c>
      <c r="B2083">
        <f>+B2082+A2083</f>
        <v/>
      </c>
      <c r="C2083" s="80" t="n">
        <v>-25.06</v>
      </c>
    </row>
    <row r="2084">
      <c r="B2084" t="inlineStr">
        <is>
          <t xml:space="preserve">合計 </t>
        </is>
      </c>
      <c r="C2084">
        <f>SUM(C2050:C2083)</f>
        <v/>
      </c>
    </row>
    <row r="2085">
      <c r="B2085" t="inlineStr">
        <is>
          <t>核驗</t>
        </is>
      </c>
      <c r="C2085">
        <f>+B2083-B2049</f>
        <v/>
      </c>
    </row>
    <row r="2087">
      <c r="A2087" t="inlineStr">
        <is>
          <t>2026.07.17當沖</t>
        </is>
      </c>
      <c r="B2087" t="inlineStr">
        <is>
          <t>買</t>
        </is>
      </c>
      <c r="C2087" s="80">
        <f>SUMIF(A2050:A2083,"&lt;0")</f>
        <v/>
      </c>
    </row>
    <row r="2088">
      <c r="A2088">
        <f>"SPY " &amp; COUNT(C2050:C2083) * 100 &amp; "股"</f>
        <v/>
      </c>
      <c r="B2088" t="inlineStr">
        <is>
          <t>賣</t>
        </is>
      </c>
      <c r="C2088" s="80">
        <f>SUMIF(A2050:A2083,"&gt;0")</f>
        <v/>
      </c>
    </row>
    <row r="2089">
      <c r="B2089" t="inlineStr">
        <is>
          <t>當日損益</t>
        </is>
      </c>
      <c r="C2089" s="80">
        <f>+C2087+C2088</f>
        <v/>
      </c>
    </row>
    <row r="2090">
      <c r="B2090" t="inlineStr">
        <is>
          <t>當日損益 %</t>
        </is>
      </c>
      <c r="C2090" s="45">
        <f>C2089/ABS(C2087)</f>
        <v/>
      </c>
    </row>
    <row r="2093">
      <c r="A2093" t="inlineStr">
        <is>
          <t>2026.07.20</t>
        </is>
      </c>
      <c r="B2093" t="n">
        <v>37851.3</v>
      </c>
      <c r="C2093" t="inlineStr">
        <is>
          <t>損益</t>
        </is>
      </c>
    </row>
    <row r="2094">
      <c r="A2094" t="n">
        <v>-74850.5</v>
      </c>
      <c r="B2094">
        <f>+B2093+A2094</f>
        <v/>
      </c>
    </row>
    <row r="2095">
      <c r="A2095" t="n">
        <v>74853.28</v>
      </c>
      <c r="B2095">
        <f>+B2094+A2095</f>
        <v/>
      </c>
      <c r="C2095" t="n">
        <v>2.78</v>
      </c>
    </row>
    <row r="2096">
      <c r="A2096" t="n">
        <v>-74660.60000000001</v>
      </c>
      <c r="B2096">
        <f>+B2095+A2096</f>
        <v/>
      </c>
    </row>
    <row r="2097">
      <c r="A2097" t="n">
        <v>-74539.5</v>
      </c>
      <c r="B2097">
        <f>+B2096+A2097</f>
        <v/>
      </c>
    </row>
    <row r="2098">
      <c r="A2098" t="n">
        <v>74519.45</v>
      </c>
      <c r="B2098">
        <f>+B2097+A2098</f>
        <v/>
      </c>
      <c r="C2098" t="n">
        <v>-20.05</v>
      </c>
    </row>
    <row r="2099">
      <c r="A2099" t="n">
        <v>-74490.5</v>
      </c>
      <c r="B2099">
        <f>+B2098+A2099</f>
        <v/>
      </c>
    </row>
    <row r="2100">
      <c r="A2100" t="n">
        <v>74450.95</v>
      </c>
      <c r="B2100">
        <f>+B2099+A2100</f>
        <v/>
      </c>
      <c r="C2100" t="n">
        <v>-39.55</v>
      </c>
    </row>
    <row r="2101">
      <c r="A2101" t="n">
        <v>74536.67999999999</v>
      </c>
      <c r="B2101">
        <f>+B2100+A2101</f>
        <v/>
      </c>
      <c r="C2101" t="n">
        <v>-123.92</v>
      </c>
    </row>
    <row r="2102">
      <c r="B2102" t="inlineStr">
        <is>
          <t xml:space="preserve">合計 </t>
        </is>
      </c>
      <c r="C2102">
        <f>SUM(C2094:C2101)</f>
        <v/>
      </c>
    </row>
    <row r="2103">
      <c r="B2103" t="inlineStr">
        <is>
          <t>核驗</t>
        </is>
      </c>
      <c r="C2103">
        <f>+B2101-B2093</f>
        <v/>
      </c>
    </row>
    <row r="2105">
      <c r="A2105" t="inlineStr">
        <is>
          <t>2026.07.20當沖</t>
        </is>
      </c>
      <c r="B2105" t="inlineStr">
        <is>
          <t>買</t>
        </is>
      </c>
      <c r="C2105" s="80">
        <f>SUMIF(A2094:A2101,"&lt;0")</f>
        <v/>
      </c>
    </row>
    <row r="2106">
      <c r="A2106">
        <f>"SPY "&amp;COUNT(C2094:C2101)*100&amp;"股"</f>
        <v/>
      </c>
      <c r="B2106" t="inlineStr">
        <is>
          <t>賣</t>
        </is>
      </c>
      <c r="C2106" s="80">
        <f>SUMIF(A2094:A2101,"&gt;0")</f>
        <v/>
      </c>
    </row>
    <row r="2107">
      <c r="B2107" t="inlineStr">
        <is>
          <t>當日損益</t>
        </is>
      </c>
      <c r="C2107" s="80">
        <f>+C2105+C2106</f>
        <v/>
      </c>
    </row>
    <row r="2108">
      <c r="B2108" t="inlineStr">
        <is>
          <t>當日損益 %</t>
        </is>
      </c>
      <c r="C2108" s="45">
        <f>C2107/ABS(C2105)</f>
        <v/>
      </c>
    </row>
    <row r="2111">
      <c r="A2111" t="inlineStr">
        <is>
          <t>2026.07.21</t>
        </is>
      </c>
      <c r="B2111" t="n">
        <v>38055.23</v>
      </c>
      <c r="C2111" t="inlineStr">
        <is>
          <t>損益</t>
        </is>
      </c>
    </row>
    <row r="2112">
      <c r="A2112" t="n">
        <v>74487.46000000001</v>
      </c>
      <c r="B2112">
        <f>+B2111+A2112</f>
        <v/>
      </c>
    </row>
    <row r="2113">
      <c r="A2113" t="n">
        <v>-74462</v>
      </c>
      <c r="B2113">
        <f>+B2112+A2113</f>
        <v/>
      </c>
      <c r="C2113" t="n">
        <v>25.46</v>
      </c>
    </row>
    <row r="2114">
      <c r="A2114" t="n">
        <v>74448.45</v>
      </c>
      <c r="B2114">
        <f>+B2113+A2114</f>
        <v/>
      </c>
    </row>
    <row r="2115">
      <c r="A2115" t="n">
        <v>-74449.5</v>
      </c>
      <c r="B2115">
        <f>+B2114+A2115</f>
        <v/>
      </c>
      <c r="C2115" t="n">
        <v>-1.05</v>
      </c>
    </row>
    <row r="2116">
      <c r="A2116" t="n">
        <v>74481.81</v>
      </c>
      <c r="B2116">
        <f>+B2115+A2116</f>
        <v/>
      </c>
    </row>
    <row r="2117">
      <c r="A2117" t="n">
        <v>-74480</v>
      </c>
      <c r="B2117">
        <f>+B2116+A2117</f>
        <v/>
      </c>
      <c r="C2117" t="n">
        <v>1.81</v>
      </c>
    </row>
    <row r="2118">
      <c r="A2118" t="n">
        <v>74504.89999999999</v>
      </c>
      <c r="B2118">
        <f>+B2117+A2118</f>
        <v/>
      </c>
    </row>
    <row r="2119">
      <c r="A2119" t="n">
        <v>-74534</v>
      </c>
      <c r="B2119">
        <f>+B2118+A2119</f>
        <v/>
      </c>
      <c r="C2119" t="n">
        <v>-29.1</v>
      </c>
    </row>
    <row r="2120">
      <c r="A2120" t="n">
        <v>74568.44</v>
      </c>
      <c r="B2120">
        <f>+B2119+A2120</f>
        <v/>
      </c>
    </row>
    <row r="2121">
      <c r="A2121" t="n">
        <v>-74487.5</v>
      </c>
      <c r="B2121">
        <f>+B2120+A2121</f>
        <v/>
      </c>
      <c r="C2121" t="n">
        <v>80.94</v>
      </c>
    </row>
    <row r="2122">
      <c r="A2122" t="n">
        <v>74499.60000000001</v>
      </c>
      <c r="B2122">
        <f>+B2121+A2122</f>
        <v/>
      </c>
    </row>
    <row r="2123">
      <c r="A2123" t="n">
        <v>-74552.5</v>
      </c>
      <c r="B2123">
        <f>+B2122+A2123</f>
        <v/>
      </c>
      <c r="C2123" t="n">
        <v>-52.9</v>
      </c>
    </row>
    <row r="2124">
      <c r="A2124" t="n">
        <v>74653.45</v>
      </c>
      <c r="B2124">
        <f>+B2123+A2124</f>
        <v/>
      </c>
    </row>
    <row r="2125">
      <c r="A2125" t="n">
        <v>-74674.99000000001</v>
      </c>
      <c r="B2125">
        <f>+B2124+A2125</f>
        <v/>
      </c>
      <c r="C2125" t="n">
        <v>-21.54</v>
      </c>
    </row>
    <row r="2126">
      <c r="A2126" t="n">
        <v>74671.94</v>
      </c>
      <c r="B2126">
        <f>+B2125+A2126</f>
        <v/>
      </c>
    </row>
    <row r="2127">
      <c r="A2127" t="n">
        <v>-74668.25999999999</v>
      </c>
      <c r="B2127">
        <f>+B2126+A2127</f>
        <v/>
      </c>
      <c r="C2127" t="n">
        <v>3.68</v>
      </c>
    </row>
    <row r="2128">
      <c r="A2128" t="n">
        <v>74647.44</v>
      </c>
      <c r="B2128">
        <f>+B2127+A2128</f>
        <v/>
      </c>
    </row>
    <row r="2129">
      <c r="A2129" t="n">
        <v>-74646.99000000001</v>
      </c>
      <c r="B2129">
        <f>+B2128+A2129</f>
        <v/>
      </c>
      <c r="C2129" t="n">
        <v>0.45</v>
      </c>
    </row>
    <row r="2130">
      <c r="A2130" t="n">
        <v>74756.32000000001</v>
      </c>
      <c r="B2130">
        <f>+B2129+A2130</f>
        <v/>
      </c>
    </row>
    <row r="2131">
      <c r="A2131" t="n">
        <v>-74749.5</v>
      </c>
      <c r="B2131">
        <f>+B2130+A2131</f>
        <v/>
      </c>
      <c r="C2131" t="n">
        <v>6.82</v>
      </c>
    </row>
    <row r="2132">
      <c r="A2132" t="n">
        <v>74767.94</v>
      </c>
      <c r="B2132">
        <f>+B2131+A2132</f>
        <v/>
      </c>
    </row>
    <row r="2133">
      <c r="A2133" t="n">
        <v>-74760.28</v>
      </c>
      <c r="B2133">
        <f>+B2132+A2133</f>
        <v/>
      </c>
      <c r="C2133" t="n">
        <v>7.66</v>
      </c>
    </row>
    <row r="2134">
      <c r="B2134" t="inlineStr">
        <is>
          <t xml:space="preserve">合計 </t>
        </is>
      </c>
      <c r="C2134">
        <f>SUM(C2112:C2133)</f>
        <v/>
      </c>
    </row>
    <row r="2135">
      <c r="B2135" t="inlineStr">
        <is>
          <t>核驗</t>
        </is>
      </c>
      <c r="C2135">
        <f>+B2133-B2111</f>
        <v/>
      </c>
    </row>
    <row r="2137">
      <c r="A2137" t="inlineStr">
        <is>
          <t>2026.07.21當沖</t>
        </is>
      </c>
      <c r="B2137" t="inlineStr">
        <is>
          <t>買</t>
        </is>
      </c>
      <c r="C2137" s="80">
        <f>SUMIF(A2112:A2133,"&lt;0")</f>
        <v/>
      </c>
    </row>
    <row r="2138">
      <c r="A2138">
        <f>"SPY " &amp; COUNT(C2112:C2133) * 100 &amp; "股"</f>
        <v/>
      </c>
      <c r="B2138" t="inlineStr">
        <is>
          <t>賣</t>
        </is>
      </c>
      <c r="C2138" s="80">
        <f>SUMIF(A2112:A2133,"&gt;0")</f>
        <v/>
      </c>
    </row>
    <row r="2139">
      <c r="B2139" t="inlineStr">
        <is>
          <t>當日損益</t>
        </is>
      </c>
      <c r="C2139" s="80">
        <f>+C2137+C2138</f>
        <v/>
      </c>
    </row>
    <row r="2140">
      <c r="B2140" t="inlineStr">
        <is>
          <t>當日損益 %</t>
        </is>
      </c>
      <c r="C2140" s="45">
        <f>C2139/ABS(C2137)</f>
        <v/>
      </c>
    </row>
    <row r="2143">
      <c r="A2143" t="inlineStr">
        <is>
          <t>2026.07.22</t>
        </is>
      </c>
      <c r="B2143" t="n">
        <v>37874.49</v>
      </c>
      <c r="C2143" t="inlineStr">
        <is>
          <t>損益</t>
        </is>
      </c>
    </row>
    <row r="2144">
      <c r="A2144" t="n">
        <v>-74903.41</v>
      </c>
      <c r="B2144">
        <f>+B2143+A2144</f>
        <v/>
      </c>
    </row>
    <row r="2145">
      <c r="A2145" t="n">
        <v>74929.44</v>
      </c>
      <c r="B2145">
        <f>+B2144+A2145</f>
        <v/>
      </c>
      <c r="C2145" t="n">
        <v>26.03</v>
      </c>
    </row>
    <row r="2146">
      <c r="A2146" t="n">
        <v>-74771</v>
      </c>
      <c r="B2146">
        <f>+B2145+A2146</f>
        <v/>
      </c>
    </row>
    <row r="2147">
      <c r="A2147" t="n">
        <v>74730.44</v>
      </c>
      <c r="B2147">
        <f>+B2146+A2147</f>
        <v/>
      </c>
      <c r="C2147" t="n">
        <v>-40.56</v>
      </c>
    </row>
    <row r="2148">
      <c r="A2148" t="n">
        <v>74723.44</v>
      </c>
      <c r="B2148">
        <f>+B2147+A2148</f>
        <v/>
      </c>
    </row>
    <row r="2149">
      <c r="A2149" t="n">
        <v>-74743.5</v>
      </c>
      <c r="B2149">
        <f>+B2148+A2149</f>
        <v/>
      </c>
      <c r="C2149" t="n">
        <v>-20.06</v>
      </c>
    </row>
    <row r="2150">
      <c r="A2150" t="n">
        <v>74726.94</v>
      </c>
      <c r="B2150">
        <f>+B2149+A2150</f>
        <v/>
      </c>
    </row>
    <row r="2151">
      <c r="A2151" t="n">
        <v>-74720.48</v>
      </c>
      <c r="B2151">
        <f>+B2150+A2151</f>
        <v/>
      </c>
      <c r="C2151" t="n">
        <v>6.46</v>
      </c>
    </row>
    <row r="2152">
      <c r="A2152" t="n">
        <v>74741.94</v>
      </c>
      <c r="B2152">
        <f>+B2151+A2152</f>
        <v/>
      </c>
    </row>
    <row r="2153">
      <c r="A2153" t="n">
        <v>74846.82000000001</v>
      </c>
      <c r="B2153">
        <f>+B2152+A2153</f>
        <v/>
      </c>
    </row>
    <row r="2154">
      <c r="A2154" t="n">
        <v>-74862</v>
      </c>
      <c r="B2154">
        <f>+B2153+A2154</f>
        <v/>
      </c>
      <c r="C2154" t="n">
        <v>-15.18</v>
      </c>
    </row>
    <row r="2155">
      <c r="A2155" t="n">
        <v>74956.44</v>
      </c>
      <c r="B2155">
        <f>+B2154+A2155</f>
        <v/>
      </c>
    </row>
    <row r="2156">
      <c r="A2156" t="n">
        <v>-74942.96000000001</v>
      </c>
      <c r="B2156">
        <f>+B2155+A2156</f>
        <v/>
      </c>
      <c r="C2156" t="n">
        <v>13.48</v>
      </c>
    </row>
    <row r="2157">
      <c r="A2157" t="n">
        <v>-74898</v>
      </c>
      <c r="B2157">
        <f>+B2156+A2157</f>
        <v/>
      </c>
      <c r="C2157" t="n">
        <v>-156.06</v>
      </c>
    </row>
    <row r="2158">
      <c r="A2158" t="n">
        <v>-74932</v>
      </c>
      <c r="B2158">
        <f>+B2157+A2158</f>
        <v/>
      </c>
    </row>
    <row r="2159">
      <c r="A2159" t="n">
        <v>74934.78999999999</v>
      </c>
      <c r="B2159">
        <f>+B2158+A2159</f>
        <v/>
      </c>
      <c r="C2159" t="n">
        <v>2.79</v>
      </c>
    </row>
    <row r="2160">
      <c r="A2160" t="n">
        <v>74930.44</v>
      </c>
      <c r="B2160">
        <f>+B2159+A2160</f>
        <v/>
      </c>
    </row>
    <row r="2161">
      <c r="A2161" t="n">
        <v>-74943.28</v>
      </c>
      <c r="B2161">
        <f>+B2160+A2161</f>
        <v/>
      </c>
      <c r="C2161" t="n">
        <v>-12.84</v>
      </c>
    </row>
    <row r="2162">
      <c r="A2162" t="n">
        <v>74969.44</v>
      </c>
      <c r="B2162">
        <f>+B2161+A2162</f>
        <v/>
      </c>
    </row>
    <row r="2163">
      <c r="A2163" t="n">
        <v>-74979</v>
      </c>
      <c r="B2163">
        <f>+B2162+A2163</f>
        <v/>
      </c>
      <c r="C2163" t="n">
        <v>-9.56</v>
      </c>
    </row>
    <row r="2164">
      <c r="B2164" t="inlineStr">
        <is>
          <t xml:space="preserve">合計 </t>
        </is>
      </c>
      <c r="C2164" s="80">
        <f>SUM(C2144:C2163)</f>
        <v/>
      </c>
    </row>
    <row r="2165">
      <c r="B2165" t="inlineStr">
        <is>
          <t>核驗</t>
        </is>
      </c>
      <c r="C2165" s="80">
        <f>+B2163-B2143</f>
        <v/>
      </c>
    </row>
    <row r="2167">
      <c r="A2167" t="inlineStr">
        <is>
          <t>2026.07.22當沖</t>
        </is>
      </c>
      <c r="B2167" t="inlineStr">
        <is>
          <t>買</t>
        </is>
      </c>
      <c r="C2167" s="80">
        <f>SUMIF(A2144:A2163,"&lt;0")</f>
        <v/>
      </c>
    </row>
    <row r="2168">
      <c r="A2168">
        <f>"SPY " &amp; COUNT(C2144:C2163) * 100 &amp; "股"</f>
        <v/>
      </c>
      <c r="B2168" t="inlineStr">
        <is>
          <t>賣</t>
        </is>
      </c>
      <c r="C2168" s="80">
        <f>SUMIF(A2144:A2163,"&gt;0")</f>
        <v/>
      </c>
    </row>
    <row r="2169">
      <c r="B2169" t="inlineStr">
        <is>
          <t>當日損益</t>
        </is>
      </c>
      <c r="C2169" s="80">
        <f>+C2167+C2168</f>
        <v/>
      </c>
    </row>
    <row r="2170">
      <c r="B2170" t="inlineStr">
        <is>
          <t>當日損益 %</t>
        </is>
      </c>
      <c r="C2170" s="45">
        <f>C2169/ABS(C2167)</f>
        <v/>
      </c>
    </row>
    <row r="2173">
      <c r="A2173" t="inlineStr">
        <is>
          <t>2026.07.23</t>
        </is>
      </c>
      <c r="B2173" t="n">
        <v>37896.72</v>
      </c>
      <c r="C2173" t="inlineStr">
        <is>
          <t>損益</t>
        </is>
      </c>
    </row>
    <row r="2174">
      <c r="A2174" t="n">
        <v>74003.46000000001</v>
      </c>
      <c r="B2174">
        <f>+B2173+A2174</f>
        <v/>
      </c>
    </row>
    <row r="2175">
      <c r="A2175" t="n">
        <v>-73987</v>
      </c>
      <c r="B2175">
        <f>+B2174+A2175</f>
        <v/>
      </c>
      <c r="C2175" t="n">
        <v>16.46</v>
      </c>
    </row>
    <row r="2176">
      <c r="A2176" t="n">
        <v>-74058.5</v>
      </c>
      <c r="B2176">
        <f>+B2175+A2176</f>
        <v/>
      </c>
    </row>
    <row r="2177">
      <c r="A2177" t="n">
        <v>73990.96000000001</v>
      </c>
      <c r="B2177">
        <f>+B2176+A2177</f>
        <v/>
      </c>
      <c r="C2177" t="n">
        <v>-67.54000000000001</v>
      </c>
    </row>
    <row r="2178">
      <c r="A2178" t="n">
        <v>-74006.5</v>
      </c>
      <c r="B2178">
        <f>+B2177+A2178</f>
        <v/>
      </c>
    </row>
    <row r="2179">
      <c r="A2179" t="n">
        <v>-73945.5</v>
      </c>
      <c r="B2179">
        <f>+B2178+A2179</f>
        <v/>
      </c>
    </row>
    <row r="2180">
      <c r="A2180" t="n">
        <v>73981.96000000001</v>
      </c>
      <c r="B2180">
        <f>+B2179+A2180</f>
        <v/>
      </c>
      <c r="C2180" t="n">
        <v>36.46</v>
      </c>
    </row>
    <row r="2181">
      <c r="A2181" t="n">
        <v>73881.47</v>
      </c>
      <c r="B2181">
        <f>+B2180+A2181</f>
        <v/>
      </c>
      <c r="C2181" t="n">
        <v>-125.03</v>
      </c>
    </row>
    <row r="2182">
      <c r="A2182" t="n">
        <v>73966.58</v>
      </c>
      <c r="B2182">
        <f>+B2181+A2182</f>
        <v/>
      </c>
    </row>
    <row r="2183">
      <c r="A2183" t="n">
        <v>74029.95</v>
      </c>
      <c r="B2183">
        <f>+B2182+A2183</f>
        <v/>
      </c>
    </row>
    <row r="2184">
      <c r="A2184" t="n">
        <v>-73948</v>
      </c>
      <c r="B2184">
        <f>+B2183+A2184</f>
        <v/>
      </c>
      <c r="C2184" t="n">
        <v>81.95</v>
      </c>
    </row>
    <row r="2185">
      <c r="A2185" t="n">
        <v>-73903.28</v>
      </c>
      <c r="B2185">
        <f>+B2184+A2185</f>
        <v/>
      </c>
      <c r="C2185" t="n">
        <v>63.3</v>
      </c>
    </row>
    <row r="2186">
      <c r="A2186" t="n">
        <v>-73647</v>
      </c>
      <c r="B2186">
        <f>+B2185+A2186</f>
        <v/>
      </c>
    </row>
    <row r="2187">
      <c r="A2187" t="n">
        <v>73717.52</v>
      </c>
      <c r="B2187">
        <f>+B2186+A2187</f>
        <v/>
      </c>
      <c r="C2187" t="n">
        <v>70.52</v>
      </c>
    </row>
    <row r="2188">
      <c r="A2188" t="n">
        <v>-73655</v>
      </c>
      <c r="B2188">
        <f>+B2187+A2188</f>
        <v/>
      </c>
    </row>
    <row r="2189">
      <c r="A2189" t="n">
        <v>73724.96000000001</v>
      </c>
      <c r="B2189">
        <f>+B2188+A2189</f>
        <v/>
      </c>
      <c r="C2189" t="n">
        <v>69.95999999999999</v>
      </c>
    </row>
    <row r="2190">
      <c r="B2190" t="inlineStr">
        <is>
          <t xml:space="preserve">合計 </t>
        </is>
      </c>
      <c r="C2190" s="80">
        <f>SUM(C2174:C2189)</f>
        <v/>
      </c>
    </row>
    <row r="2191">
      <c r="B2191" t="inlineStr">
        <is>
          <t>核驗</t>
        </is>
      </c>
      <c r="C2191" s="80">
        <f>+B2189-B2173</f>
        <v/>
      </c>
    </row>
    <row r="2193">
      <c r="A2193" t="inlineStr">
        <is>
          <t>2026.07.23當沖</t>
        </is>
      </c>
      <c r="B2193" t="inlineStr">
        <is>
          <t>買</t>
        </is>
      </c>
      <c r="C2193" s="80">
        <f>SUMIF(A2174:A2189,"&lt;0")</f>
        <v/>
      </c>
    </row>
    <row r="2194">
      <c r="A2194">
        <f>"SPY " &amp; COUNT(C2174:C2189) * 100 &amp; "股"</f>
        <v/>
      </c>
      <c r="B2194" t="inlineStr">
        <is>
          <t>賣</t>
        </is>
      </c>
      <c r="C2194" s="80">
        <f>SUMIF(A2174:A2189,"&gt;0")</f>
        <v/>
      </c>
    </row>
    <row r="2195">
      <c r="B2195" t="inlineStr">
        <is>
          <t>當日損益</t>
        </is>
      </c>
      <c r="C2195" s="80">
        <f>+C2193+C2194</f>
        <v/>
      </c>
    </row>
    <row r="2196">
      <c r="B2196" t="inlineStr">
        <is>
          <t>當日損益 %</t>
        </is>
      </c>
      <c r="C2196" s="45">
        <f>C2195/ABS(C2193)</f>
        <v/>
      </c>
    </row>
    <row r="2199">
      <c r="A2199" t="inlineStr">
        <is>
          <t>2026.07.24</t>
        </is>
      </c>
      <c r="B2199" t="n">
        <v>38018.04</v>
      </c>
      <c r="C2199" t="inlineStr">
        <is>
          <t>損益</t>
        </is>
      </c>
    </row>
    <row r="2200">
      <c r="A2200" t="n">
        <v>-73882.5</v>
      </c>
      <c r="B2200">
        <f>+B2199+A2200</f>
        <v/>
      </c>
    </row>
    <row r="2201">
      <c r="A2201" t="n">
        <v>73957.46000000001</v>
      </c>
      <c r="B2201">
        <f>+B2200+A2201</f>
        <v/>
      </c>
      <c r="C2201" t="n">
        <v>74.95999999999999</v>
      </c>
    </row>
    <row r="2202">
      <c r="A2202" t="n">
        <v>-73970</v>
      </c>
      <c r="B2202">
        <f>+B2201+A2202</f>
        <v/>
      </c>
    </row>
    <row r="2203">
      <c r="A2203" t="n">
        <v>73782.02</v>
      </c>
      <c r="B2203">
        <f>+B2202+A2203</f>
        <v/>
      </c>
      <c r="C2203" t="n">
        <v>-187.98</v>
      </c>
    </row>
    <row r="2204">
      <c r="A2204" t="n">
        <v>-73796.5</v>
      </c>
      <c r="B2204">
        <f>+B2203+A2204</f>
        <v/>
      </c>
    </row>
    <row r="2205">
      <c r="A2205" t="n">
        <v>73936.46000000001</v>
      </c>
      <c r="B2205">
        <f>+B2204+A2205</f>
        <v/>
      </c>
      <c r="C2205" t="n">
        <v>139.96</v>
      </c>
    </row>
    <row r="2206">
      <c r="A2206" t="n">
        <v>-73882</v>
      </c>
      <c r="B2206">
        <f>+B2205+A2206</f>
        <v/>
      </c>
    </row>
    <row r="2207">
      <c r="A2207" t="n">
        <v>73944.60000000001</v>
      </c>
      <c r="B2207">
        <f>+B2206+A2207</f>
        <v/>
      </c>
      <c r="C2207" t="n">
        <v>62.6</v>
      </c>
    </row>
    <row r="2208">
      <c r="A2208" t="n">
        <v>-73869.99000000001</v>
      </c>
      <c r="B2208">
        <f>+B2207+A2208</f>
        <v/>
      </c>
    </row>
    <row r="2209">
      <c r="A2209" t="n">
        <v>73760.96000000001</v>
      </c>
      <c r="B2209">
        <f>+B2208+A2209</f>
        <v/>
      </c>
      <c r="C2209" t="n">
        <v>-109.03</v>
      </c>
    </row>
    <row r="2210">
      <c r="A2210" t="n">
        <v>73802.78</v>
      </c>
      <c r="B2210">
        <f>+B2209+A2210</f>
        <v/>
      </c>
    </row>
    <row r="2211">
      <c r="A2211" t="n">
        <v>-73774.89999999999</v>
      </c>
      <c r="B2211">
        <f>+B2210+A2211</f>
        <v/>
      </c>
      <c r="C2211" t="n">
        <v>27.88</v>
      </c>
    </row>
    <row r="2212">
      <c r="A2212" t="n">
        <v>-73797.2</v>
      </c>
      <c r="B2212">
        <f>+B2211+A2212</f>
        <v/>
      </c>
    </row>
    <row r="2213">
      <c r="A2213" t="n">
        <v>73847.08</v>
      </c>
      <c r="B2213">
        <f>+B2212+A2213</f>
        <v/>
      </c>
      <c r="C2213" t="n">
        <v>49.88</v>
      </c>
    </row>
    <row r="2214">
      <c r="B2214" t="inlineStr">
        <is>
          <t xml:space="preserve">合計 </t>
        </is>
      </c>
      <c r="C2214" s="80">
        <f>SUM(C2200:C2213)</f>
        <v/>
      </c>
    </row>
    <row r="2215">
      <c r="B2215" t="inlineStr">
        <is>
          <t>核驗</t>
        </is>
      </c>
      <c r="C2215" s="80">
        <f>+B2213-B2199</f>
        <v/>
      </c>
    </row>
    <row r="2217">
      <c r="A2217" t="inlineStr">
        <is>
          <t>2026.07.24當沖</t>
        </is>
      </c>
      <c r="B2217" t="inlineStr">
        <is>
          <t>買</t>
        </is>
      </c>
      <c r="C2217" s="80">
        <f>SUMIF(A2200:A2213,"&lt;0")</f>
        <v/>
      </c>
    </row>
    <row r="2218">
      <c r="A2218">
        <f>"SPY " &amp; COUNT(C2200:C2213) * 100 &amp; "股"</f>
        <v/>
      </c>
      <c r="B2218" t="inlineStr">
        <is>
          <t>賣</t>
        </is>
      </c>
      <c r="C2218" s="80">
        <f>SUMIF(A2200:A2213,"&gt;0")</f>
        <v/>
      </c>
    </row>
    <row r="2219">
      <c r="B2219" t="inlineStr">
        <is>
          <t>當日損益</t>
        </is>
      </c>
      <c r="C2219" s="80">
        <f>+C2217+C2218</f>
        <v/>
      </c>
    </row>
    <row r="2220">
      <c r="B2220" t="inlineStr">
        <is>
          <t>當日損益 %</t>
        </is>
      </c>
      <c r="C2220" s="45">
        <f>C2219/ABS(C2217)</f>
        <v/>
      </c>
    </row>
    <row r="2223">
      <c r="A2223" t="inlineStr">
        <is>
          <t>2026.07.27</t>
        </is>
      </c>
      <c r="B2223" t="n">
        <v>37837.3</v>
      </c>
      <c r="C2223" t="inlineStr">
        <is>
          <t>損益</t>
        </is>
      </c>
    </row>
    <row r="2224">
      <c r="A2224" t="n">
        <v>-74403.99000000001</v>
      </c>
      <c r="B2224">
        <f>+B2223+A2224</f>
        <v/>
      </c>
    </row>
    <row r="2225">
      <c r="A2225" t="n">
        <v>74392.48</v>
      </c>
      <c r="B2225">
        <f>+B2224+A2225</f>
        <v/>
      </c>
      <c r="C2225" t="n">
        <v>-11.51</v>
      </c>
    </row>
    <row r="2226">
      <c r="A2226" t="n">
        <v>-74369.8</v>
      </c>
      <c r="B2226">
        <f>+B2225+A2226</f>
        <v/>
      </c>
    </row>
    <row r="2227">
      <c r="A2227" t="n">
        <v>74230.87</v>
      </c>
      <c r="B2227">
        <f>+B2226+A2227</f>
        <v/>
      </c>
      <c r="C2227" t="n">
        <v>-138.93</v>
      </c>
    </row>
    <row r="2228">
      <c r="A2228" t="n">
        <v>-74191</v>
      </c>
      <c r="B2228">
        <f>+B2227+A2228</f>
        <v/>
      </c>
    </row>
    <row r="2229">
      <c r="A2229" t="n">
        <v>-74104.77</v>
      </c>
      <c r="B2229">
        <f>+B2228+A2229</f>
        <v/>
      </c>
    </row>
    <row r="2230">
      <c r="A2230" t="n">
        <v>-73819.5</v>
      </c>
      <c r="B2230">
        <f>+B2229+A2230</f>
        <v/>
      </c>
    </row>
    <row r="2231">
      <c r="A2231" t="n">
        <v>73599.53999999999</v>
      </c>
      <c r="B2231">
        <f>+B2230+A2231</f>
        <v/>
      </c>
      <c r="C2231" t="n">
        <v>-219.96</v>
      </c>
    </row>
    <row r="2232">
      <c r="A2232" t="n">
        <v>73593.46000000001</v>
      </c>
      <c r="B2232">
        <f>+B2231+A2232</f>
        <v/>
      </c>
      <c r="C2232" t="n">
        <v>-511.31</v>
      </c>
    </row>
    <row r="2233">
      <c r="A2233" t="n">
        <v>73587.46000000001</v>
      </c>
      <c r="B2233">
        <f>+B2232+A2233</f>
        <v/>
      </c>
      <c r="C2233" t="n">
        <v>-603.54</v>
      </c>
    </row>
    <row r="2234">
      <c r="B2234" t="inlineStr">
        <is>
          <t xml:space="preserve">合計 </t>
        </is>
      </c>
      <c r="C2234" s="80">
        <f>SUM(C2224:C2233)</f>
        <v/>
      </c>
    </row>
    <row r="2235">
      <c r="B2235" t="inlineStr">
        <is>
          <t>核驗</t>
        </is>
      </c>
      <c r="C2235" s="80">
        <f>+B2233-B2223</f>
        <v/>
      </c>
    </row>
    <row r="2237">
      <c r="A2237" t="inlineStr">
        <is>
          <t>2026.07.27當沖</t>
        </is>
      </c>
      <c r="B2237" t="inlineStr">
        <is>
          <t>買</t>
        </is>
      </c>
      <c r="C2237" s="80">
        <f>SUMIF(A2224:A2233,"&lt;0")</f>
        <v/>
      </c>
    </row>
    <row r="2238">
      <c r="A2238">
        <f>"SPY " &amp; COUNT(C2224:C2233) * 100 &amp; "股"</f>
        <v/>
      </c>
      <c r="B2238" t="inlineStr">
        <is>
          <t>賣</t>
        </is>
      </c>
      <c r="C2238" s="80">
        <f>SUMIF(A2224:A2233,"&gt;0")</f>
        <v/>
      </c>
    </row>
    <row r="2239">
      <c r="B2239" t="inlineStr">
        <is>
          <t>當日損益</t>
        </is>
      </c>
      <c r="C2239" s="80">
        <f>+C2237+C2238</f>
        <v/>
      </c>
    </row>
    <row r="2240">
      <c r="B2240" t="inlineStr">
        <is>
          <t>當日損益 %</t>
        </is>
      </c>
      <c r="C2240" s="45">
        <f>C2239/ABS(C2237)</f>
        <v/>
      </c>
    </row>
    <row r="2243">
      <c r="A2243" t="inlineStr">
        <is>
          <t>2026.07.28</t>
        </is>
      </c>
      <c r="B2243" t="n">
        <v>37895.57</v>
      </c>
      <c r="C2243" t="inlineStr">
        <is>
          <t>損益</t>
        </is>
      </c>
    </row>
    <row r="2244">
      <c r="A2244" t="n">
        <v>-73843.34</v>
      </c>
      <c r="B2244">
        <f>+B2243+A2244</f>
        <v/>
      </c>
    </row>
    <row r="2245">
      <c r="A2245" t="n">
        <v>73827.96000000001</v>
      </c>
      <c r="B2245">
        <f>+B2244+A2245</f>
        <v/>
      </c>
      <c r="C2245" t="n">
        <v>-15.38</v>
      </c>
    </row>
    <row r="2246">
      <c r="A2246" t="n">
        <v>-73772.5</v>
      </c>
      <c r="B2246">
        <f>+B2245+A2246</f>
        <v/>
      </c>
    </row>
    <row r="2247">
      <c r="A2247" t="n">
        <v>73639.48</v>
      </c>
      <c r="B2247">
        <f>+B2246+A2247</f>
        <v/>
      </c>
      <c r="C2247" t="n">
        <v>-133.02</v>
      </c>
    </row>
    <row r="2248">
      <c r="A2248" t="n">
        <v>-73738.36</v>
      </c>
      <c r="B2248">
        <f>+B2247+A2248</f>
        <v/>
      </c>
    </row>
    <row r="2249">
      <c r="A2249" t="n">
        <v>-73652.5</v>
      </c>
      <c r="B2249">
        <f>+B2248+A2249</f>
        <v/>
      </c>
    </row>
    <row r="2250">
      <c r="A2250" t="n">
        <v>73729.91</v>
      </c>
      <c r="B2250">
        <f>+B2249+A2250</f>
        <v/>
      </c>
      <c r="C2250" t="n">
        <v>77.41</v>
      </c>
    </row>
    <row r="2251">
      <c r="A2251" t="n">
        <v>-73743.78999999999</v>
      </c>
      <c r="B2251">
        <f>+B2250+A2251</f>
        <v/>
      </c>
    </row>
    <row r="2252">
      <c r="A2252" t="n">
        <v>73735.06</v>
      </c>
      <c r="B2252">
        <f>+B2251+A2252</f>
        <v/>
      </c>
      <c r="C2252" t="n">
        <v>-8.73</v>
      </c>
    </row>
    <row r="2253">
      <c r="A2253" t="n">
        <v>73658.97</v>
      </c>
      <c r="B2253">
        <f>+B2252+A2253</f>
        <v/>
      </c>
      <c r="C2253" t="n">
        <v>-79.39</v>
      </c>
    </row>
    <row r="2254">
      <c r="A2254" t="n">
        <v>-73669</v>
      </c>
      <c r="B2254">
        <f>+B2253+A2254</f>
        <v/>
      </c>
    </row>
    <row r="2255">
      <c r="A2255" t="n">
        <v>73776.50999999999</v>
      </c>
      <c r="B2255">
        <f>+B2254+A2255</f>
        <v/>
      </c>
      <c r="C2255" t="n">
        <v>107.51</v>
      </c>
    </row>
    <row r="2256">
      <c r="A2256" t="n">
        <v>-73750.99000000001</v>
      </c>
      <c r="B2256">
        <f>+B2255+A2256</f>
        <v/>
      </c>
    </row>
    <row r="2257">
      <c r="A2257" t="n">
        <v>-73796.5</v>
      </c>
      <c r="B2257">
        <f>+B2256+A2257</f>
        <v/>
      </c>
    </row>
    <row r="2258">
      <c r="A2258" t="n">
        <v>73832.46000000001</v>
      </c>
      <c r="B2258">
        <f>+B2257+A2258</f>
        <v/>
      </c>
      <c r="C2258" t="n">
        <v>35.96</v>
      </c>
    </row>
    <row r="2259">
      <c r="A2259" t="n">
        <v>-73830.5</v>
      </c>
      <c r="B2259">
        <f>+B2258+A2259</f>
        <v/>
      </c>
    </row>
    <row r="2260">
      <c r="A2260" t="n">
        <v>73877.46000000001</v>
      </c>
      <c r="B2260">
        <f>+B2259+A2260</f>
        <v/>
      </c>
      <c r="C2260" t="n">
        <v>46.96</v>
      </c>
    </row>
    <row r="2261">
      <c r="A2261" t="n">
        <v>74207.95</v>
      </c>
      <c r="B2261">
        <f>+B2260+A2261</f>
        <v/>
      </c>
      <c r="C2261" t="n">
        <v>456.96</v>
      </c>
    </row>
    <row r="2262">
      <c r="A2262" t="n">
        <v>-74218.97</v>
      </c>
      <c r="B2262">
        <f>+B2261+A2262</f>
        <v/>
      </c>
    </row>
    <row r="2263">
      <c r="A2263" t="n">
        <v>74217.45</v>
      </c>
      <c r="B2263">
        <f>+B2262+A2263</f>
        <v/>
      </c>
      <c r="C2263" t="n">
        <v>-1.52</v>
      </c>
    </row>
    <row r="2264">
      <c r="A2264" t="n">
        <v>-74132</v>
      </c>
      <c r="B2264">
        <f>+B2263+A2264</f>
        <v/>
      </c>
    </row>
    <row r="2265">
      <c r="A2265" t="n">
        <v>74121.58</v>
      </c>
      <c r="B2265">
        <f>+B2264+A2265</f>
        <v/>
      </c>
      <c r="C2265" t="n">
        <v>-10.42</v>
      </c>
    </row>
    <row r="2266">
      <c r="B2266" t="inlineStr">
        <is>
          <t xml:space="preserve">合計 </t>
        </is>
      </c>
      <c r="C2266" s="80">
        <f>SUM(C2244:C2265)</f>
        <v/>
      </c>
    </row>
    <row r="2267">
      <c r="B2267" t="inlineStr">
        <is>
          <t>核驗</t>
        </is>
      </c>
      <c r="C2267" s="80">
        <f>+B2265-B2243</f>
        <v/>
      </c>
    </row>
    <row r="2269">
      <c r="A2269" t="inlineStr">
        <is>
          <t>2026.07.28當沖</t>
        </is>
      </c>
      <c r="B2269" t="inlineStr">
        <is>
          <t>買</t>
        </is>
      </c>
      <c r="C2269" s="80">
        <f>SUMIF(A2244:A2265,"&lt;0")</f>
        <v/>
      </c>
    </row>
    <row r="2270">
      <c r="A2270">
        <f>"SPY " &amp; COUNT(C2244:C2265) * 100 &amp; "股"</f>
        <v/>
      </c>
      <c r="B2270" t="inlineStr">
        <is>
          <t>賣</t>
        </is>
      </c>
      <c r="C2270" s="80">
        <f>SUMIF(A2244:A2265,"&gt;0")</f>
        <v/>
      </c>
    </row>
    <row r="2271">
      <c r="B2271" t="inlineStr">
        <is>
          <t>當日損益</t>
        </is>
      </c>
      <c r="C2271" s="80">
        <f>+C2269+C2270</f>
        <v/>
      </c>
    </row>
    <row r="2272">
      <c r="B2272" t="inlineStr">
        <is>
          <t>當日損益 %</t>
        </is>
      </c>
      <c r="C2272" s="45">
        <f>C2271/ABS(C2269)</f>
        <v/>
      </c>
    </row>
    <row r="2275">
      <c r="A2275" t="inlineStr">
        <is>
          <t>2026.07.29</t>
        </is>
      </c>
      <c r="B2275" t="n">
        <v>36410.32</v>
      </c>
      <c r="C2275" t="inlineStr">
        <is>
          <t>損益</t>
        </is>
      </c>
    </row>
    <row r="2276">
      <c r="A2276" t="n">
        <v>-74009</v>
      </c>
      <c r="B2276">
        <f>+B2275+A2276</f>
        <v/>
      </c>
    </row>
    <row r="2277">
      <c r="A2277" t="n">
        <v>74005.47</v>
      </c>
      <c r="B2277">
        <f>+B2276+A2277</f>
        <v/>
      </c>
      <c r="C2277" t="n">
        <v>-3.53</v>
      </c>
    </row>
    <row r="2278">
      <c r="A2278" t="n">
        <v>-73947</v>
      </c>
      <c r="B2278">
        <f>+B2277+A2278</f>
        <v/>
      </c>
    </row>
    <row r="2279">
      <c r="A2279" t="n">
        <v>73990.96000000001</v>
      </c>
      <c r="B2279">
        <f>+B2278+A2279</f>
        <v/>
      </c>
      <c r="C2279" t="n">
        <v>43.96</v>
      </c>
    </row>
    <row r="2280">
      <c r="A2280" t="n">
        <v>-73953.5</v>
      </c>
      <c r="B2280">
        <f>+B2279+A2280</f>
        <v/>
      </c>
    </row>
    <row r="2281">
      <c r="A2281" t="n">
        <v>73847.96000000001</v>
      </c>
      <c r="B2281">
        <f>+B2280+A2281</f>
        <v/>
      </c>
      <c r="C2281" t="n">
        <v>-105.54</v>
      </c>
    </row>
    <row r="2282">
      <c r="A2282" t="n">
        <v>-73699.99000000001</v>
      </c>
      <c r="B2282">
        <f>+B2281+A2282</f>
        <v/>
      </c>
    </row>
    <row r="2283">
      <c r="A2283" t="n">
        <v>-73712</v>
      </c>
      <c r="B2283">
        <f>+B2282+A2283</f>
        <v/>
      </c>
    </row>
    <row r="2284">
      <c r="A2284" t="n">
        <v>73757.96000000001</v>
      </c>
      <c r="B2284">
        <f>+B2283+A2284</f>
        <v/>
      </c>
      <c r="C2284" t="n">
        <v>45.96</v>
      </c>
    </row>
    <row r="2285">
      <c r="A2285" t="n">
        <v>-73768.99000000001</v>
      </c>
      <c r="B2285">
        <f>+B2284+A2285</f>
        <v/>
      </c>
    </row>
    <row r="2286">
      <c r="A2286" t="n">
        <v>73540.47</v>
      </c>
      <c r="B2286">
        <f>+B2285+A2286</f>
        <v/>
      </c>
      <c r="C2286" t="n">
        <v>-228.52</v>
      </c>
    </row>
    <row r="2287">
      <c r="A2287" t="n">
        <v>-73591.60000000001</v>
      </c>
      <c r="B2287">
        <f>+B2286+A2287</f>
        <v/>
      </c>
    </row>
    <row r="2288">
      <c r="A2288" t="n">
        <v>73449.67</v>
      </c>
      <c r="B2288">
        <f>+B2287+A2288</f>
        <v/>
      </c>
      <c r="C2288" t="n">
        <v>-141.93</v>
      </c>
    </row>
    <row r="2289">
      <c r="A2289" t="n">
        <v>73527.47</v>
      </c>
      <c r="B2289">
        <f>+B2288+A2289</f>
        <v/>
      </c>
      <c r="C2289" t="n">
        <v>-172.52</v>
      </c>
    </row>
    <row r="2290">
      <c r="A2290" t="n">
        <v>-73412.5</v>
      </c>
      <c r="B2290">
        <f>+B2289+A2290</f>
        <v/>
      </c>
    </row>
    <row r="2291">
      <c r="A2291" t="n">
        <v>73438.8</v>
      </c>
      <c r="B2291">
        <f>+B2290+A2291</f>
        <v/>
      </c>
      <c r="C2291" t="n">
        <v>26.3</v>
      </c>
    </row>
    <row r="2292">
      <c r="A2292" t="n">
        <v>-73490.5</v>
      </c>
      <c r="B2292">
        <f>+B2291+A2292</f>
        <v/>
      </c>
    </row>
    <row r="2293">
      <c r="A2293" t="n">
        <v>73511.47</v>
      </c>
      <c r="B2293">
        <f>+B2292+A2293</f>
        <v/>
      </c>
      <c r="C2293" t="n">
        <v>20.97</v>
      </c>
    </row>
    <row r="2294">
      <c r="A2294" t="n">
        <v>-73482.5</v>
      </c>
      <c r="B2294">
        <f>+B2293+A2294</f>
        <v/>
      </c>
    </row>
    <row r="2295">
      <c r="A2295" t="n">
        <v>73472.19</v>
      </c>
      <c r="B2295">
        <f>+B2294+A2295</f>
        <v/>
      </c>
      <c r="C2295" t="n">
        <v>-10.31</v>
      </c>
    </row>
    <row r="2296">
      <c r="A2296" t="n">
        <v>-73512</v>
      </c>
      <c r="B2296">
        <f>+B2295+A2296</f>
        <v/>
      </c>
    </row>
    <row r="2297">
      <c r="A2297" t="n">
        <v>73528.48</v>
      </c>
      <c r="B2297">
        <f>+B2296+A2297</f>
        <v/>
      </c>
      <c r="C2297" t="n">
        <v>16.48</v>
      </c>
    </row>
    <row r="2298">
      <c r="A2298" t="n">
        <v>-73532.5</v>
      </c>
      <c r="B2298">
        <f>+B2297+A2298</f>
        <v/>
      </c>
    </row>
    <row r="2299">
      <c r="A2299" t="n">
        <v>73536.52</v>
      </c>
      <c r="B2299">
        <f>+B2298+A2299</f>
        <v/>
      </c>
      <c r="C2299" t="n">
        <v>4.02</v>
      </c>
    </row>
    <row r="2300">
      <c r="A2300" t="n">
        <v>-73484.99000000001</v>
      </c>
      <c r="B2300">
        <f>+B2299+A2300</f>
        <v/>
      </c>
    </row>
    <row r="2301">
      <c r="A2301" t="n">
        <v>73475.83</v>
      </c>
      <c r="B2301">
        <f>+B2300+A2301</f>
        <v/>
      </c>
      <c r="C2301" t="n">
        <v>-9.16</v>
      </c>
    </row>
    <row r="2302">
      <c r="B2302" t="inlineStr">
        <is>
          <t xml:space="preserve">合計 </t>
        </is>
      </c>
      <c r="C2302" s="80">
        <f>SUM(C2276:C2301)</f>
        <v/>
      </c>
    </row>
    <row r="2303">
      <c r="B2303" t="inlineStr">
        <is>
          <t>核驗</t>
        </is>
      </c>
      <c r="C2303" s="80">
        <f>+B2301-B2275</f>
        <v/>
      </c>
    </row>
    <row r="2305">
      <c r="A2305" t="inlineStr">
        <is>
          <t>2026.07.29當沖</t>
        </is>
      </c>
      <c r="B2305" t="inlineStr">
        <is>
          <t>買</t>
        </is>
      </c>
      <c r="C2305" s="80">
        <f>SUMIF(A2276:A2301,"&lt;0")</f>
        <v/>
      </c>
    </row>
    <row r="2306">
      <c r="A2306">
        <f>"SPY " &amp; COUNT(C2276:C2301) * 100 &amp; "股"</f>
        <v/>
      </c>
      <c r="B2306" t="inlineStr">
        <is>
          <t>賣</t>
        </is>
      </c>
      <c r="C2306" s="80">
        <f>SUMIF(A2276:A2301,"&gt;0")</f>
        <v/>
      </c>
    </row>
    <row r="2307">
      <c r="B2307" t="inlineStr">
        <is>
          <t>當日損益</t>
        </is>
      </c>
      <c r="C2307" s="80">
        <f>+C2305+C2306</f>
        <v/>
      </c>
    </row>
    <row r="2308">
      <c r="B2308" t="inlineStr">
        <is>
          <t>當日損益 %</t>
        </is>
      </c>
      <c r="C2308" s="45">
        <f>C2307/ABS(C2305)</f>
        <v/>
      </c>
    </row>
    <row r="2311">
      <c r="A2311" t="inlineStr">
        <is>
          <t>2026.07.30</t>
        </is>
      </c>
      <c r="B2311" t="n">
        <v>36886.66</v>
      </c>
      <c r="C2311" t="inlineStr">
        <is>
          <t>損益</t>
        </is>
      </c>
    </row>
    <row r="2312">
      <c r="A2312" t="n">
        <v>73490.48</v>
      </c>
      <c r="B2312">
        <f>+B2311+A2312</f>
        <v/>
      </c>
    </row>
    <row r="2313">
      <c r="A2313" t="n">
        <v>-73555.5</v>
      </c>
      <c r="B2313">
        <f>+B2312+A2313</f>
        <v/>
      </c>
      <c r="C2313" t="n">
        <v>-65.02</v>
      </c>
    </row>
    <row r="2314">
      <c r="A2314" t="n">
        <v>73726.96000000001</v>
      </c>
      <c r="B2314">
        <f>+B2313+A2314</f>
        <v/>
      </c>
    </row>
    <row r="2315">
      <c r="A2315" t="n">
        <v>-73724.5</v>
      </c>
      <c r="B2315">
        <f>+B2314+A2315</f>
        <v/>
      </c>
      <c r="C2315" t="n">
        <v>2.46</v>
      </c>
    </row>
    <row r="2316">
      <c r="A2316" t="n">
        <v>-73755.5</v>
      </c>
      <c r="B2316">
        <f>+B2315+A2316</f>
        <v/>
      </c>
    </row>
    <row r="2317">
      <c r="A2317" t="n">
        <v>-73808.5</v>
      </c>
      <c r="B2317">
        <f>+B2316+A2317</f>
        <v/>
      </c>
    </row>
    <row r="2318">
      <c r="A2318" t="n">
        <v>73782.17999999999</v>
      </c>
      <c r="B2318">
        <f>+B2317+A2318</f>
        <v/>
      </c>
      <c r="C2318" t="n">
        <v>-26.32</v>
      </c>
    </row>
    <row r="2319">
      <c r="A2319" t="n">
        <v>73745.96000000001</v>
      </c>
      <c r="B2319">
        <f>+B2318+A2319</f>
        <v/>
      </c>
      <c r="C2319" t="n">
        <v>-9.539999999999999</v>
      </c>
    </row>
    <row r="2320">
      <c r="A2320" t="n">
        <v>-73545.07000000001</v>
      </c>
      <c r="B2320">
        <f>+B2319+A2320</f>
        <v/>
      </c>
    </row>
    <row r="2321">
      <c r="A2321" t="n">
        <v>-73544.34</v>
      </c>
      <c r="B2321">
        <f>+B2320+A2321</f>
        <v/>
      </c>
    </row>
    <row r="2322">
      <c r="A2322" t="n">
        <v>73517.67</v>
      </c>
      <c r="B2322">
        <f>+B2321+A2322</f>
        <v/>
      </c>
      <c r="C2322" t="n">
        <v>-26.67</v>
      </c>
    </row>
    <row r="2323">
      <c r="A2323" t="n">
        <v>73865.46000000001</v>
      </c>
      <c r="B2323">
        <f>+B2322+A2323</f>
        <v/>
      </c>
      <c r="C2323" t="n">
        <v>320.39</v>
      </c>
    </row>
    <row r="2324">
      <c r="A2324" t="n">
        <v>-73902.99000000001</v>
      </c>
      <c r="B2324">
        <f>+B2323+A2324</f>
        <v/>
      </c>
    </row>
    <row r="2325">
      <c r="A2325" t="n">
        <v>73983.96000000001</v>
      </c>
      <c r="B2325">
        <f>+B2324+A2325</f>
        <v/>
      </c>
      <c r="C2325" t="n">
        <v>80.97</v>
      </c>
    </row>
    <row r="2326">
      <c r="B2326" t="inlineStr">
        <is>
          <t xml:space="preserve">合計 </t>
        </is>
      </c>
      <c r="C2326" s="80">
        <f>SUM(C2312:C2325)</f>
        <v/>
      </c>
    </row>
    <row r="2327">
      <c r="B2327" t="inlineStr">
        <is>
          <t>核驗</t>
        </is>
      </c>
      <c r="C2327" s="80">
        <f>+B2325-B2311</f>
        <v/>
      </c>
    </row>
    <row r="2329">
      <c r="A2329" t="inlineStr">
        <is>
          <t>2026.07.30當沖</t>
        </is>
      </c>
      <c r="B2329" t="inlineStr">
        <is>
          <t>買</t>
        </is>
      </c>
      <c r="C2329" s="80">
        <f>SUMIF(A2312:A2325,"&lt;0")</f>
        <v/>
      </c>
    </row>
    <row r="2330">
      <c r="A2330">
        <f>"SPY " &amp; COUNT(C2312:C2325) * 100 &amp; "股"</f>
        <v/>
      </c>
      <c r="B2330" t="inlineStr">
        <is>
          <t>賣</t>
        </is>
      </c>
      <c r="C2330" s="80">
        <f>SUMIF(A2312:A2325,"&gt;0")</f>
        <v/>
      </c>
    </row>
    <row r="2331">
      <c r="B2331" t="inlineStr">
        <is>
          <t>當日損益</t>
        </is>
      </c>
      <c r="C2331" s="80">
        <f>+C2329+C2330</f>
        <v/>
      </c>
    </row>
    <row r="2332">
      <c r="B2332" t="inlineStr">
        <is>
          <t>當日損益 %</t>
        </is>
      </c>
      <c r="C2332" s="45">
        <f>C2331/ABS(C2329)</f>
        <v/>
      </c>
    </row>
    <row r="2335">
      <c r="A2335" t="inlineStr">
        <is>
          <t>2026.07.31</t>
        </is>
      </c>
      <c r="B2335" t="n">
        <v>40303.85</v>
      </c>
      <c r="C2335" t="inlineStr">
        <is>
          <t>損益</t>
        </is>
      </c>
    </row>
    <row r="2336">
      <c r="A2336" t="n">
        <v>-74242.99000000001</v>
      </c>
      <c r="B2336">
        <f>+B2335+A2336</f>
        <v/>
      </c>
    </row>
    <row r="2337">
      <c r="A2337" t="n">
        <v>-73850</v>
      </c>
      <c r="B2337">
        <f>+B2336+A2337</f>
        <v/>
      </c>
    </row>
    <row r="2338">
      <c r="A2338" t="n">
        <v>73859.46000000001</v>
      </c>
      <c r="B2338">
        <f>+B2337+A2338</f>
        <v/>
      </c>
      <c r="C2338" t="n">
        <v>9.460000000000001</v>
      </c>
    </row>
    <row r="2339">
      <c r="A2339" t="n">
        <v>73922.25</v>
      </c>
      <c r="B2339">
        <f>+B2338+A2339</f>
        <v/>
      </c>
      <c r="C2339" t="n">
        <v>-320.74</v>
      </c>
    </row>
    <row r="2340">
      <c r="A2340" t="n">
        <v>-73901</v>
      </c>
      <c r="B2340">
        <f>+B2339+A2340</f>
        <v/>
      </c>
    </row>
    <row r="2341">
      <c r="A2341" t="n">
        <v>73972.96000000001</v>
      </c>
      <c r="B2341">
        <f>+B2340+A2341</f>
        <v/>
      </c>
      <c r="C2341" t="n">
        <v>71.95999999999999</v>
      </c>
    </row>
    <row r="2342">
      <c r="A2342" t="n">
        <v>74039.13</v>
      </c>
      <c r="B2342">
        <f>+B2341+A2342</f>
        <v/>
      </c>
    </row>
    <row r="2343">
      <c r="A2343" t="n">
        <v>-74041.60000000001</v>
      </c>
      <c r="B2343">
        <f>+B2342+A2343</f>
        <v/>
      </c>
      <c r="C2343" t="n">
        <v>-2.47</v>
      </c>
    </row>
    <row r="2344">
      <c r="A2344" t="n">
        <v>-74103.16</v>
      </c>
      <c r="B2344">
        <f>+B2343+A2344</f>
        <v/>
      </c>
    </row>
    <row r="2345">
      <c r="A2345" t="n">
        <v>74256.95</v>
      </c>
      <c r="B2345">
        <f>+B2344+A2345</f>
        <v/>
      </c>
      <c r="C2345" t="n">
        <v>153.79</v>
      </c>
    </row>
    <row r="2346">
      <c r="A2346" t="n">
        <v>-74197</v>
      </c>
      <c r="B2346">
        <f>+B2345+A2346</f>
        <v/>
      </c>
    </row>
    <row r="2347">
      <c r="A2347" t="n">
        <v>74175.45</v>
      </c>
      <c r="B2347">
        <f>+B2346+A2347</f>
        <v/>
      </c>
      <c r="C2347" t="n">
        <v>-21.55</v>
      </c>
    </row>
    <row r="2348">
      <c r="A2348" t="n">
        <v>-74234</v>
      </c>
      <c r="B2348">
        <f>+B2347+A2348</f>
        <v/>
      </c>
    </row>
    <row r="2349">
      <c r="A2349" t="n">
        <v>-74169.87</v>
      </c>
      <c r="B2349">
        <f>+B2348+A2349</f>
        <v/>
      </c>
    </row>
    <row r="2350">
      <c r="A2350" t="n">
        <v>74107.46000000001</v>
      </c>
      <c r="B2350">
        <f>+B2349+A2350</f>
        <v/>
      </c>
      <c r="C2350" t="n">
        <v>-62.41</v>
      </c>
    </row>
    <row r="2351">
      <c r="A2351" t="n">
        <v>-74084.92</v>
      </c>
      <c r="B2351">
        <f>+B2350+A2351</f>
        <v/>
      </c>
    </row>
    <row r="2352">
      <c r="A2352" t="n">
        <v>74242.02</v>
      </c>
      <c r="B2352">
        <f>+B2351+A2352</f>
        <v/>
      </c>
      <c r="C2352" t="n">
        <v>157.1</v>
      </c>
    </row>
    <row r="2353">
      <c r="A2353" t="n">
        <v>74317.23</v>
      </c>
      <c r="B2353">
        <f>+B2352+A2353</f>
        <v/>
      </c>
      <c r="C2353" t="n">
        <v>83.23</v>
      </c>
    </row>
    <row r="2354">
      <c r="B2354" t="inlineStr">
        <is>
          <t xml:space="preserve">合計 </t>
        </is>
      </c>
      <c r="C2354" s="80">
        <f>SUM(C2336:C2353)</f>
        <v/>
      </c>
    </row>
    <row r="2355">
      <c r="B2355" t="inlineStr">
        <is>
          <t>核驗</t>
        </is>
      </c>
      <c r="C2355" s="80">
        <f>+B2353-B2335</f>
        <v/>
      </c>
    </row>
    <row r="2357">
      <c r="A2357" t="inlineStr">
        <is>
          <t>2026.07.31當沖</t>
        </is>
      </c>
      <c r="B2357" t="inlineStr">
        <is>
          <t>買</t>
        </is>
      </c>
      <c r="C2357" s="80">
        <f>SUMIF(A2336:A2353,"&lt;0")</f>
        <v/>
      </c>
    </row>
    <row r="2358">
      <c r="A2358">
        <f>"SPY " &amp; COUNT(C2336:C2353) * 100 &amp; "股"</f>
        <v/>
      </c>
      <c r="B2358" t="inlineStr">
        <is>
          <t>賣</t>
        </is>
      </c>
      <c r="C2358" s="80">
        <f>SUMIF(A2336:A2353,"&gt;0")</f>
        <v/>
      </c>
    </row>
    <row r="2359">
      <c r="B2359" t="inlineStr">
        <is>
          <t>當日損益</t>
        </is>
      </c>
      <c r="C2359" s="80">
        <f>+C2357+C2358</f>
        <v/>
      </c>
    </row>
    <row r="2360">
      <c r="B2360" t="inlineStr">
        <is>
          <t>當日損益 %</t>
        </is>
      </c>
      <c r="C2360" s="45">
        <f>C2359/ABS(C2357)</f>
        <v/>
      </c>
    </row>
    <row r="2362">
      <c r="A2362" t="inlineStr">
        <is>
          <t>累積留倉   100股</t>
        </is>
      </c>
    </row>
    <row r="2363">
      <c r="A2363" t="inlineStr">
        <is>
          <t>2026.07.16 留倉</t>
        </is>
      </c>
      <c r="B2363" t="inlineStr">
        <is>
          <t>買 100股</t>
        </is>
      </c>
      <c r="C2363">
        <f>C2046</f>
        <v/>
      </c>
    </row>
    <row r="2366">
      <c r="A2366" t="inlineStr">
        <is>
          <t>2026.08.03</t>
        </is>
      </c>
      <c r="B2366" s="33" t="n">
        <v>36649.56</v>
      </c>
      <c r="C2366" t="inlineStr">
        <is>
          <t>損益</t>
        </is>
      </c>
    </row>
    <row r="2367">
      <c r="A2367" t="n">
        <v>75003.42999999999</v>
      </c>
      <c r="B2367">
        <f>+B2366+A2367</f>
        <v/>
      </c>
    </row>
    <row r="2368">
      <c r="B2368" t="inlineStr">
        <is>
          <t xml:space="preserve">合計 </t>
        </is>
      </c>
      <c r="C2368">
        <f>SUM(C2367:C2367)</f>
        <v/>
      </c>
    </row>
    <row r="2369">
      <c r="B2369" t="inlineStr">
        <is>
          <t>核驗</t>
        </is>
      </c>
      <c r="C2369">
        <f>+B2367-B2366-A2367</f>
        <v/>
      </c>
    </row>
    <row r="2371">
      <c r="A2371" t="inlineStr">
        <is>
          <t>2026.07.16 留倉</t>
        </is>
      </c>
      <c r="B2371" t="inlineStr">
        <is>
          <t>買 100股</t>
        </is>
      </c>
      <c r="C2371" s="80" t="n">
        <v>-75360.2</v>
      </c>
    </row>
    <row r="2372">
      <c r="A2372" t="inlineStr">
        <is>
          <t>2026.08.03 平倉</t>
        </is>
      </c>
      <c r="B2372" t="inlineStr">
        <is>
          <t>賣 100股</t>
        </is>
      </c>
      <c r="C2372" s="85" t="n">
        <v>75003.42999999999</v>
      </c>
    </row>
    <row r="2373">
      <c r="B2373" t="inlineStr">
        <is>
          <t>留倉損益</t>
        </is>
      </c>
      <c r="C2373" s="80">
        <f>C2371+C2372</f>
        <v/>
      </c>
    </row>
    <row r="2374">
      <c r="B2374" t="inlineStr">
        <is>
          <t>留倉損益 %</t>
        </is>
      </c>
      <c r="C2374" s="45">
        <f>C2373/ABS(C2371)</f>
        <v/>
      </c>
    </row>
    <row r="2377">
      <c r="A2377" t="inlineStr">
        <is>
          <t>2026.08.04</t>
        </is>
      </c>
      <c r="B2377" t="n">
        <v>36135.74</v>
      </c>
      <c r="C2377" t="inlineStr">
        <is>
          <t>損益</t>
        </is>
      </c>
    </row>
    <row r="2378">
      <c r="A2378" t="n">
        <v>-76301.96000000001</v>
      </c>
      <c r="B2378">
        <f>+B2377+A2378</f>
        <v/>
      </c>
    </row>
    <row r="2379">
      <c r="A2379" t="n">
        <v>76324.41</v>
      </c>
      <c r="B2379">
        <f>+B2378+A2379</f>
        <v/>
      </c>
      <c r="C2379" t="n">
        <v>22.45</v>
      </c>
    </row>
    <row r="2380">
      <c r="A2380" t="n">
        <v>-76403</v>
      </c>
      <c r="B2380">
        <f>+B2379+A2380</f>
        <v/>
      </c>
    </row>
    <row r="2381">
      <c r="A2381" t="n">
        <v>76389.42</v>
      </c>
      <c r="B2381">
        <f>+B2380+A2381</f>
        <v/>
      </c>
      <c r="C2381" t="n">
        <v>-13.58</v>
      </c>
    </row>
    <row r="2382">
      <c r="A2382" t="n">
        <v>-76423</v>
      </c>
      <c r="B2382">
        <f>+B2381+A2382</f>
        <v/>
      </c>
    </row>
    <row r="2383">
      <c r="A2383" t="n">
        <v>76438.42</v>
      </c>
      <c r="B2383">
        <f>+B2382+A2383</f>
        <v/>
      </c>
      <c r="C2383" t="n">
        <v>15.42</v>
      </c>
    </row>
    <row r="2384">
      <c r="A2384" t="n">
        <v>-76501</v>
      </c>
      <c r="B2384">
        <f>+B2383+A2384</f>
        <v/>
      </c>
    </row>
    <row r="2385">
      <c r="A2385" t="n">
        <v>76424.42</v>
      </c>
      <c r="B2385">
        <f>+B2384+A2385</f>
        <v/>
      </c>
      <c r="C2385" t="n">
        <v>-76.58</v>
      </c>
    </row>
    <row r="2386">
      <c r="A2386" t="n">
        <v>-76454.99000000001</v>
      </c>
      <c r="B2386">
        <f>+B2385+A2386</f>
        <v/>
      </c>
    </row>
    <row r="2387">
      <c r="A2387" t="n">
        <v>76525.12</v>
      </c>
      <c r="B2387">
        <f>+B2386+A2387</f>
        <v/>
      </c>
      <c r="C2387" t="n">
        <v>70.13</v>
      </c>
    </row>
    <row r="2388">
      <c r="A2388" t="n">
        <v>-76790</v>
      </c>
      <c r="B2388">
        <f>+B2387+A2388</f>
        <v/>
      </c>
    </row>
    <row r="2389">
      <c r="A2389" t="n">
        <v>76810.39999999999</v>
      </c>
      <c r="B2389">
        <f>+B2388+A2389</f>
        <v/>
      </c>
      <c r="C2389" t="n">
        <v>20.4</v>
      </c>
    </row>
    <row r="2390">
      <c r="B2390" t="inlineStr">
        <is>
          <t xml:space="preserve">合計 </t>
        </is>
      </c>
      <c r="C2390" s="80">
        <f>SUM(C2378:C2389)</f>
        <v/>
      </c>
    </row>
    <row r="2391">
      <c r="B2391" t="inlineStr">
        <is>
          <t>核驗</t>
        </is>
      </c>
      <c r="C2391" s="80">
        <f>+B2389-B2377</f>
        <v/>
      </c>
    </row>
    <row r="2393">
      <c r="A2393" t="inlineStr">
        <is>
          <t>2026.08.04當沖</t>
        </is>
      </c>
      <c r="B2393" t="inlineStr">
        <is>
          <t>買</t>
        </is>
      </c>
      <c r="C2393" s="80">
        <f>SUMIF(A2378:A2389,"&lt;0")</f>
        <v/>
      </c>
    </row>
    <row r="2394">
      <c r="A2394">
        <f>"SPY " &amp; COUNT(C2378:C2389) * 100 &amp; "股"</f>
        <v/>
      </c>
      <c r="B2394" t="inlineStr">
        <is>
          <t>賣</t>
        </is>
      </c>
      <c r="C2394" s="80">
        <f>SUMIF(A2378:A2389,"&gt;0")</f>
        <v/>
      </c>
    </row>
    <row r="2395">
      <c r="B2395" t="inlineStr">
        <is>
          <t>當日損益</t>
        </is>
      </c>
      <c r="C2395" s="80">
        <f>+C2393+C2394</f>
        <v/>
      </c>
    </row>
    <row r="2396">
      <c r="B2396" t="inlineStr">
        <is>
          <t>當日損益 %</t>
        </is>
      </c>
      <c r="C2396" s="45">
        <f>C2395/ABS(C2393)</f>
        <v/>
      </c>
    </row>
    <row r="2399">
      <c r="A2399" t="inlineStr">
        <is>
          <t>2026.08.05</t>
        </is>
      </c>
      <c r="B2399" t="n">
        <v>115851.99</v>
      </c>
      <c r="C2399" t="inlineStr">
        <is>
          <t>損益</t>
        </is>
      </c>
    </row>
    <row r="2400">
      <c r="A2400" t="n">
        <v>77589.16</v>
      </c>
      <c r="B2400">
        <f>+B2399+A2400</f>
        <v/>
      </c>
    </row>
    <row r="2401">
      <c r="A2401" t="n">
        <v>-77579</v>
      </c>
      <c r="B2401">
        <f>+B2400+A2401</f>
        <v/>
      </c>
      <c r="C2401" t="n">
        <v>10.16</v>
      </c>
    </row>
    <row r="2402">
      <c r="A2402" t="n">
        <v>77484.88</v>
      </c>
      <c r="B2402">
        <f>+B2401+A2402</f>
        <v/>
      </c>
    </row>
    <row r="2403">
      <c r="A2403" t="n">
        <v>-77558.99000000001</v>
      </c>
      <c r="B2403">
        <f>+B2402+A2403</f>
        <v/>
      </c>
      <c r="C2403" t="n">
        <v>-74.11</v>
      </c>
    </row>
    <row r="2404">
      <c r="A2404" t="n">
        <v>77438.88</v>
      </c>
      <c r="B2404">
        <f>+B2403+A2404</f>
        <v/>
      </c>
    </row>
    <row r="2405">
      <c r="A2405" t="n">
        <v>-77439</v>
      </c>
      <c r="B2405">
        <f>+B2404+A2405</f>
        <v/>
      </c>
      <c r="C2405" t="n">
        <v>-0.12</v>
      </c>
    </row>
    <row r="2406">
      <c r="A2406" t="n">
        <v>77456.38</v>
      </c>
      <c r="B2406">
        <f>+B2405+A2406</f>
        <v/>
      </c>
    </row>
    <row r="2407">
      <c r="A2407" t="n">
        <v>-77473.5</v>
      </c>
      <c r="B2407">
        <f>+B2406+A2407</f>
        <v/>
      </c>
      <c r="C2407" t="n">
        <v>-17.12</v>
      </c>
    </row>
    <row r="2408">
      <c r="A2408" t="n">
        <v>-77442.5</v>
      </c>
      <c r="B2408">
        <f>+B2407+A2408</f>
        <v/>
      </c>
    </row>
    <row r="2409">
      <c r="A2409" t="n">
        <v>77462.39</v>
      </c>
      <c r="B2409">
        <f>+B2408+A2409</f>
        <v/>
      </c>
      <c r="C2409" t="n">
        <v>19.89</v>
      </c>
    </row>
    <row r="2410">
      <c r="A2410" t="n">
        <v>77275.89999999999</v>
      </c>
      <c r="B2410">
        <f>+B2409+A2410</f>
        <v/>
      </c>
    </row>
    <row r="2411">
      <c r="A2411" t="n">
        <v>-77289</v>
      </c>
      <c r="B2411">
        <f>+B2410+A2411</f>
        <v/>
      </c>
      <c r="C2411" t="n">
        <v>-13.1</v>
      </c>
    </row>
    <row r="2412">
      <c r="A2412" t="n">
        <v>77345.42999999999</v>
      </c>
      <c r="B2412">
        <f>+B2411+A2412</f>
        <v/>
      </c>
    </row>
    <row r="2413">
      <c r="A2413" t="n">
        <v>-77315.5</v>
      </c>
      <c r="B2413">
        <f>+B2412+A2413</f>
        <v/>
      </c>
      <c r="C2413" t="n">
        <v>29.93</v>
      </c>
    </row>
    <row r="2414">
      <c r="A2414" t="n">
        <v>-77385.5</v>
      </c>
      <c r="B2414">
        <f>+B2413+A2414</f>
        <v/>
      </c>
    </row>
    <row r="2415">
      <c r="A2415" t="n">
        <v>77366.47</v>
      </c>
      <c r="B2415">
        <f>+B2414+A2415</f>
        <v/>
      </c>
      <c r="C2415" t="n">
        <v>-19.03</v>
      </c>
    </row>
    <row r="2416">
      <c r="A2416" t="n">
        <v>77312.92999999999</v>
      </c>
      <c r="B2416">
        <f>+B2415+A2416</f>
        <v/>
      </c>
    </row>
    <row r="2417">
      <c r="A2417" t="n">
        <v>-77305</v>
      </c>
      <c r="B2417">
        <f>+B2416+A2417</f>
        <v/>
      </c>
      <c r="C2417" t="n">
        <v>7.93</v>
      </c>
    </row>
    <row r="2418">
      <c r="A2418" t="n">
        <v>77256.39</v>
      </c>
      <c r="B2418">
        <f>+B2417+A2418</f>
        <v/>
      </c>
    </row>
    <row r="2419">
      <c r="A2419" t="n">
        <v>-77242.5</v>
      </c>
      <c r="B2419">
        <f>+B2418+A2419</f>
        <v/>
      </c>
      <c r="C2419" t="n">
        <v>13.89</v>
      </c>
    </row>
    <row r="2420">
      <c r="A2420" t="n">
        <v>77246.89</v>
      </c>
      <c r="B2420">
        <f>+B2419+A2420</f>
        <v/>
      </c>
    </row>
    <row r="2421">
      <c r="A2421" t="n">
        <v>-77225.5</v>
      </c>
      <c r="B2421">
        <f>+B2420+A2421</f>
        <v/>
      </c>
      <c r="C2421" t="n">
        <v>21.39</v>
      </c>
    </row>
    <row r="2422">
      <c r="A2422" t="n">
        <v>77185.95</v>
      </c>
      <c r="B2422">
        <f>+B2421+A2422</f>
        <v/>
      </c>
    </row>
    <row r="2423">
      <c r="A2423" t="n">
        <v>-77175.89999999999</v>
      </c>
      <c r="B2423">
        <f>+B2422+A2423</f>
        <v/>
      </c>
      <c r="C2423" t="n">
        <v>10.05</v>
      </c>
    </row>
    <row r="2424">
      <c r="B2424" t="inlineStr">
        <is>
          <t xml:space="preserve">合計 </t>
        </is>
      </c>
      <c r="C2424" s="80">
        <f>SUM(C2400:C2423)</f>
        <v/>
      </c>
    </row>
    <row r="2425">
      <c r="B2425" t="inlineStr">
        <is>
          <t>核驗</t>
        </is>
      </c>
      <c r="C2425" s="80">
        <f>+B2423-B2399</f>
        <v/>
      </c>
    </row>
    <row r="2427">
      <c r="A2427" t="inlineStr">
        <is>
          <t>2026.08.05當沖</t>
        </is>
      </c>
      <c r="B2427" t="inlineStr">
        <is>
          <t>買</t>
        </is>
      </c>
      <c r="C2427" s="80">
        <f>SUMIF(A2400:A2423,"&lt;0")</f>
        <v/>
      </c>
    </row>
    <row r="2428">
      <c r="A2428">
        <f>"SPY " &amp; COUNT(C2400:C2423) * 100 &amp; "股"</f>
        <v/>
      </c>
      <c r="B2428" t="inlineStr">
        <is>
          <t>賣</t>
        </is>
      </c>
      <c r="C2428" s="80">
        <f>SUMIF(A2400:A2423,"&gt;0")</f>
        <v/>
      </c>
    </row>
    <row r="2429">
      <c r="B2429" t="inlineStr">
        <is>
          <t>當日損益</t>
        </is>
      </c>
      <c r="C2429" s="80">
        <f>+C2427+C2428</f>
        <v/>
      </c>
    </row>
    <row r="2430">
      <c r="B2430" t="inlineStr">
        <is>
          <t>當日損益 %</t>
        </is>
      </c>
      <c r="C2430" s="45">
        <f>C2429/ABS(C2427)</f>
        <v/>
      </c>
    </row>
    <row r="2433">
      <c r="A2433" t="inlineStr">
        <is>
          <t>2026.08.06</t>
        </is>
      </c>
      <c r="B2433" t="n">
        <v>115890.23</v>
      </c>
      <c r="C2433" t="inlineStr">
        <is>
          <t>損益</t>
        </is>
      </c>
    </row>
    <row r="2434">
      <c r="A2434" t="n">
        <v>-77133.5</v>
      </c>
      <c r="B2434">
        <f>+B2433+A2434</f>
        <v/>
      </c>
    </row>
    <row r="2435">
      <c r="A2435" t="n">
        <v>77143.39999999999</v>
      </c>
      <c r="B2435">
        <f>+B2434+A2435</f>
        <v/>
      </c>
      <c r="C2435" t="n">
        <v>9.9</v>
      </c>
    </row>
    <row r="2436">
      <c r="A2436" t="n">
        <v>-77151.95</v>
      </c>
      <c r="B2436">
        <f>+B2435+A2436</f>
        <v/>
      </c>
    </row>
    <row r="2437">
      <c r="A2437" t="n">
        <v>77156.89</v>
      </c>
      <c r="B2437">
        <f>+B2436+A2437</f>
        <v/>
      </c>
      <c r="C2437" t="n">
        <v>4.94</v>
      </c>
    </row>
    <row r="2438">
      <c r="A2438" t="n">
        <v>-77156.89999999999</v>
      </c>
      <c r="B2438">
        <f>+B2437+A2438</f>
        <v/>
      </c>
    </row>
    <row r="2439">
      <c r="A2439" t="n">
        <v>77174.39999999999</v>
      </c>
      <c r="B2439">
        <f>+B2438+A2439</f>
        <v/>
      </c>
      <c r="C2439" t="n">
        <v>17.5</v>
      </c>
    </row>
    <row r="2440">
      <c r="A2440" t="n">
        <v>-77175.5</v>
      </c>
      <c r="B2440">
        <f>+B2439+A2440</f>
        <v/>
      </c>
    </row>
    <row r="2441">
      <c r="A2441" t="n">
        <v>77035.89</v>
      </c>
      <c r="B2441">
        <f>+B2440+A2441</f>
        <v/>
      </c>
      <c r="C2441" t="n">
        <v>-139.61</v>
      </c>
    </row>
    <row r="2442">
      <c r="A2442" t="n">
        <v>-77030</v>
      </c>
      <c r="B2442">
        <f>+B2441+A2442</f>
        <v/>
      </c>
    </row>
    <row r="2443">
      <c r="A2443" t="n">
        <v>77044.89</v>
      </c>
      <c r="B2443">
        <f>+B2442+A2443</f>
        <v/>
      </c>
      <c r="C2443" t="n">
        <v>14.89</v>
      </c>
    </row>
    <row r="2444">
      <c r="A2444" t="n">
        <v>-77078.5</v>
      </c>
      <c r="B2444">
        <f>+B2443+A2444</f>
        <v/>
      </c>
    </row>
    <row r="2445">
      <c r="A2445" t="n">
        <v>77078.89</v>
      </c>
      <c r="B2445">
        <f>+B2444+A2445</f>
        <v/>
      </c>
      <c r="C2445" t="n">
        <v>0.39</v>
      </c>
    </row>
    <row r="2446">
      <c r="A2446" t="n">
        <v>77049.2</v>
      </c>
      <c r="B2446">
        <f>+B2445+A2446</f>
        <v/>
      </c>
    </row>
    <row r="2447">
      <c r="A2447" t="n">
        <v>-76986.60000000001</v>
      </c>
      <c r="B2447">
        <f>+B2446+A2447</f>
        <v/>
      </c>
      <c r="C2447" t="n">
        <v>62.6</v>
      </c>
    </row>
    <row r="2448">
      <c r="A2448" t="n">
        <v>76983.89</v>
      </c>
      <c r="B2448">
        <f>+B2447+A2448</f>
        <v/>
      </c>
    </row>
    <row r="2449">
      <c r="A2449" t="n">
        <v>-76981.99000000001</v>
      </c>
      <c r="B2449">
        <f>+B2448+A2449</f>
        <v/>
      </c>
      <c r="C2449" t="n">
        <v>1.9</v>
      </c>
    </row>
    <row r="2450">
      <c r="A2450" t="n">
        <v>77000.39</v>
      </c>
      <c r="B2450">
        <f>+B2449+A2450</f>
        <v/>
      </c>
    </row>
    <row r="2451">
      <c r="A2451" t="n">
        <v>-77040.5</v>
      </c>
      <c r="B2451">
        <f>+B2450+A2451</f>
        <v/>
      </c>
      <c r="C2451" t="n">
        <v>-40.11</v>
      </c>
    </row>
    <row r="2452">
      <c r="A2452" t="n">
        <v>77042.89</v>
      </c>
      <c r="B2452">
        <f>+B2451+A2452</f>
        <v/>
      </c>
    </row>
    <row r="2453">
      <c r="A2453" t="n">
        <v>-77032.89999999999</v>
      </c>
      <c r="B2453">
        <f>+B2452+A2453</f>
        <v/>
      </c>
      <c r="C2453" t="n">
        <v>9.99</v>
      </c>
    </row>
    <row r="2454">
      <c r="A2454" t="n">
        <v>77082.89</v>
      </c>
      <c r="B2454">
        <f>+B2453+A2454</f>
        <v/>
      </c>
    </row>
    <row r="2455">
      <c r="A2455" t="n">
        <v>-77090</v>
      </c>
      <c r="B2455">
        <f>+B2454+A2455</f>
        <v/>
      </c>
      <c r="C2455" t="n">
        <v>-7.11</v>
      </c>
    </row>
    <row r="2456">
      <c r="A2456" t="n">
        <v>-77030.61</v>
      </c>
      <c r="B2456">
        <f>+B2455+A2456</f>
        <v/>
      </c>
    </row>
    <row r="2457">
      <c r="A2457" t="n">
        <v>77039.09</v>
      </c>
      <c r="B2457">
        <f>+B2456+A2457</f>
        <v/>
      </c>
      <c r="C2457" t="n">
        <v>8.48</v>
      </c>
    </row>
    <row r="2458">
      <c r="A2458" t="n">
        <v>-77050.95</v>
      </c>
      <c r="B2458">
        <f>+B2457+A2458</f>
        <v/>
      </c>
    </row>
    <row r="2459">
      <c r="A2459" t="n">
        <v>77076.59</v>
      </c>
      <c r="B2459">
        <f>+B2458+A2459</f>
        <v/>
      </c>
      <c r="C2459" t="n">
        <v>25.64</v>
      </c>
    </row>
    <row r="2460">
      <c r="A2460" t="n">
        <v>-77056</v>
      </c>
      <c r="B2460">
        <f>+B2459+A2460</f>
        <v/>
      </c>
    </row>
    <row r="2461">
      <c r="A2461" t="n">
        <v>77054.39</v>
      </c>
      <c r="B2461">
        <f>+B2460+A2461</f>
        <v/>
      </c>
      <c r="C2461" t="n">
        <v>-1.61</v>
      </c>
    </row>
    <row r="2462">
      <c r="A2462" t="n">
        <v>-77004.89999999999</v>
      </c>
      <c r="B2462">
        <f>+B2461+A2462</f>
        <v/>
      </c>
    </row>
    <row r="2463">
      <c r="A2463" t="n">
        <v>76956.89</v>
      </c>
      <c r="B2463">
        <f>+B2462+A2463</f>
        <v/>
      </c>
      <c r="C2463" t="n">
        <v>-48.01</v>
      </c>
    </row>
    <row r="2464">
      <c r="A2464" t="n">
        <v>-76930.5</v>
      </c>
      <c r="B2464">
        <f>+B2463+A2464</f>
        <v/>
      </c>
    </row>
    <row r="2465">
      <c r="A2465" t="n">
        <v>76826.39999999999</v>
      </c>
      <c r="B2465">
        <f>+B2464+A2465</f>
        <v/>
      </c>
      <c r="C2465" t="n">
        <v>-104.1</v>
      </c>
    </row>
    <row r="2466">
      <c r="A2466" t="n">
        <v>-76825.5</v>
      </c>
      <c r="B2466">
        <f>+B2465+A2466</f>
        <v/>
      </c>
    </row>
    <row r="2467">
      <c r="A2467" t="n">
        <v>76820.41</v>
      </c>
      <c r="B2467">
        <f>+B2466+A2467</f>
        <v/>
      </c>
      <c r="C2467" t="n">
        <v>-5.09</v>
      </c>
    </row>
    <row r="2468">
      <c r="B2468" t="inlineStr">
        <is>
          <t xml:space="preserve">合計 </t>
        </is>
      </c>
      <c r="C2468" s="80">
        <f>SUM(C2434:C2467)</f>
        <v/>
      </c>
    </row>
    <row r="2469">
      <c r="B2469" t="inlineStr">
        <is>
          <t>核驗</t>
        </is>
      </c>
      <c r="C2469" s="80">
        <f>+B2467-B2433</f>
        <v/>
      </c>
    </row>
    <row r="2471">
      <c r="A2471" t="inlineStr">
        <is>
          <t>2026.08.06當沖</t>
        </is>
      </c>
      <c r="B2471" t="inlineStr">
        <is>
          <t>買</t>
        </is>
      </c>
      <c r="C2471" s="80">
        <f>SUMIF(A2434:A2467,"&lt;0")</f>
        <v/>
      </c>
    </row>
    <row r="2472">
      <c r="A2472">
        <f>"SPY " &amp; COUNT(C2434:C2467) * 100 &amp; "股"</f>
        <v/>
      </c>
      <c r="B2472" t="inlineStr">
        <is>
          <t>賣</t>
        </is>
      </c>
      <c r="C2472" s="80">
        <f>SUMIF(A2434:A2467,"&gt;0")</f>
        <v/>
      </c>
    </row>
    <row r="2473">
      <c r="B2473" t="inlineStr">
        <is>
          <t>當日損益</t>
        </is>
      </c>
      <c r="C2473" s="80">
        <f>+C2471+C2472</f>
        <v/>
      </c>
    </row>
    <row r="2474">
      <c r="B2474" t="inlineStr">
        <is>
          <t>當日損益 %</t>
        </is>
      </c>
      <c r="C2474" s="45">
        <f>C2473/ABS(C2471)</f>
        <v/>
      </c>
    </row>
    <row r="2477">
      <c r="A2477" t="inlineStr">
        <is>
          <t>2026.08.07</t>
        </is>
      </c>
      <c r="B2477" t="n">
        <v>115652.34</v>
      </c>
      <c r="C2477" t="inlineStr">
        <is>
          <t>損益</t>
        </is>
      </c>
    </row>
    <row r="2478">
      <c r="A2478" t="n">
        <v>-76985.5</v>
      </c>
      <c r="B2478">
        <f>+B2477+A2478</f>
        <v/>
      </c>
    </row>
    <row r="2479">
      <c r="A2479" t="n">
        <v>77065.39999999999</v>
      </c>
      <c r="B2479">
        <f>+B2478+A2479</f>
        <v/>
      </c>
      <c r="C2479" t="n">
        <v>79.90000000000001</v>
      </c>
    </row>
    <row r="2480">
      <c r="A2480" t="n">
        <v>-77222.99000000001</v>
      </c>
      <c r="B2480">
        <f>+B2479+A2480</f>
        <v/>
      </c>
    </row>
    <row r="2481">
      <c r="A2481" t="n">
        <v>77263.89</v>
      </c>
      <c r="B2481">
        <f>+B2480+A2481</f>
        <v/>
      </c>
      <c r="C2481" t="n">
        <v>40.9</v>
      </c>
    </row>
    <row r="2482">
      <c r="A2482" t="n">
        <v>-77296.5</v>
      </c>
      <c r="B2482">
        <f>+B2481+A2482</f>
        <v/>
      </c>
    </row>
    <row r="2483">
      <c r="A2483" t="n">
        <v>-77261.08</v>
      </c>
      <c r="B2483">
        <f>+B2482+A2483</f>
        <v/>
      </c>
    </row>
    <row r="2484">
      <c r="A2484" t="n">
        <v>77260.32000000001</v>
      </c>
      <c r="B2484">
        <f>+B2483+A2484</f>
        <v/>
      </c>
      <c r="C2484" t="n">
        <v>-0.76</v>
      </c>
    </row>
    <row r="2485">
      <c r="A2485" t="n">
        <v>77240.89</v>
      </c>
      <c r="B2485">
        <f>+B2484+A2485</f>
        <v/>
      </c>
      <c r="C2485" t="n">
        <v>-55.61</v>
      </c>
    </row>
    <row r="2486">
      <c r="A2486" t="n">
        <v>-77289.96000000001</v>
      </c>
      <c r="B2486">
        <f>+B2485+A2486</f>
        <v/>
      </c>
    </row>
    <row r="2487">
      <c r="A2487" t="n">
        <v>77343.11</v>
      </c>
      <c r="B2487">
        <f>+B2486+A2487</f>
        <v/>
      </c>
      <c r="C2487" t="n">
        <v>53.15</v>
      </c>
    </row>
    <row r="2488">
      <c r="A2488" t="n">
        <v>-77342.99000000001</v>
      </c>
      <c r="B2488">
        <f>+B2487+A2488</f>
        <v/>
      </c>
    </row>
    <row r="2489">
      <c r="A2489" t="n">
        <v>77343.39</v>
      </c>
      <c r="B2489">
        <f>+B2488+A2489</f>
        <v/>
      </c>
      <c r="C2489" t="n">
        <v>0.4</v>
      </c>
    </row>
    <row r="2490">
      <c r="A2490" t="n">
        <v>-77340.99000000001</v>
      </c>
      <c r="B2490">
        <f>+B2489+A2490</f>
        <v/>
      </c>
    </row>
    <row r="2491">
      <c r="A2491" t="n">
        <v>-77296.45</v>
      </c>
      <c r="B2491">
        <f>+B2490+A2491</f>
        <v/>
      </c>
    </row>
    <row r="2492">
      <c r="A2492" t="n">
        <v>77328.39</v>
      </c>
      <c r="B2492">
        <f>+B2491+A2492</f>
        <v/>
      </c>
      <c r="C2492" t="n">
        <v>31.94</v>
      </c>
    </row>
    <row r="2493">
      <c r="A2493" t="n">
        <v>-77217.5</v>
      </c>
      <c r="B2493">
        <f>+B2492+A2493</f>
        <v/>
      </c>
    </row>
    <row r="2494">
      <c r="A2494" t="n">
        <v>77221.52</v>
      </c>
      <c r="B2494">
        <f>+B2493+A2494</f>
        <v/>
      </c>
      <c r="C2494" t="n">
        <v>4.02</v>
      </c>
    </row>
    <row r="2495">
      <c r="A2495" t="n">
        <v>77235.88</v>
      </c>
      <c r="B2495">
        <f>+B2494+A2495</f>
        <v/>
      </c>
      <c r="C2495" t="n">
        <v>-105.11</v>
      </c>
    </row>
    <row r="2496">
      <c r="B2496" t="inlineStr">
        <is>
          <t xml:space="preserve">合計 </t>
        </is>
      </c>
      <c r="C2496" s="80">
        <f>SUM(C2478:C2495)</f>
        <v/>
      </c>
    </row>
    <row r="2497">
      <c r="B2497" t="inlineStr">
        <is>
          <t>核驗</t>
        </is>
      </c>
      <c r="C2497" s="80">
        <f>+B2495-B2477</f>
        <v/>
      </c>
    </row>
    <row r="2499">
      <c r="A2499" t="inlineStr">
        <is>
          <t>2026.08.07當沖</t>
        </is>
      </c>
      <c r="B2499" t="inlineStr">
        <is>
          <t>買</t>
        </is>
      </c>
      <c r="C2499" s="80">
        <f>SUMIF(A2478:A2495,"&lt;0")</f>
        <v/>
      </c>
    </row>
    <row r="2500">
      <c r="A2500">
        <f>"SPY " &amp; COUNT(C2478:C2495) * 100 &amp; "股"</f>
        <v/>
      </c>
      <c r="B2500" t="inlineStr">
        <is>
          <t>賣</t>
        </is>
      </c>
      <c r="C2500" s="80">
        <f>SUMIF(A2478:A2495,"&gt;0")</f>
        <v/>
      </c>
    </row>
    <row r="2501">
      <c r="B2501" t="inlineStr">
        <is>
          <t>當日損益</t>
        </is>
      </c>
      <c r="C2501" s="80">
        <f>+C2499+C2500</f>
        <v/>
      </c>
    </row>
    <row r="2502">
      <c r="B2502" t="inlineStr">
        <is>
          <t>當日損益 %</t>
        </is>
      </c>
      <c r="C2502" s="45">
        <f>C2501/ABS(C2499)</f>
        <v/>
      </c>
    </row>
    <row r="2505">
      <c r="A2505" t="inlineStr">
        <is>
          <t>2026.08.10</t>
        </is>
      </c>
      <c r="B2505" t="n">
        <v>115749.65</v>
      </c>
      <c r="C2505" t="inlineStr">
        <is>
          <t>損益</t>
        </is>
      </c>
    </row>
    <row r="2506">
      <c r="A2506" t="n">
        <v>77400.89</v>
      </c>
      <c r="B2506">
        <f>+B2505+A2506</f>
        <v/>
      </c>
    </row>
    <row r="2507">
      <c r="A2507" t="n">
        <v>-77416.99000000001</v>
      </c>
      <c r="B2507">
        <f>+B2506+A2507</f>
        <v/>
      </c>
      <c r="C2507" t="n">
        <v>-16.1</v>
      </c>
    </row>
    <row r="2508">
      <c r="A2508" t="n">
        <v>77428.39</v>
      </c>
      <c r="B2508">
        <f>+B2507+A2508</f>
        <v/>
      </c>
    </row>
    <row r="2509">
      <c r="A2509" t="n">
        <v>-77423</v>
      </c>
      <c r="B2509">
        <f>+B2508+A2509</f>
        <v/>
      </c>
      <c r="C2509" t="n">
        <v>5.39</v>
      </c>
    </row>
    <row r="2510">
      <c r="A2510" t="n">
        <v>77459.39</v>
      </c>
      <c r="B2510">
        <f>+B2509+A2510</f>
        <v/>
      </c>
    </row>
    <row r="2511">
      <c r="A2511" t="n">
        <v>-77402</v>
      </c>
      <c r="B2511">
        <f>+B2510+A2511</f>
        <v/>
      </c>
      <c r="C2511" t="n">
        <v>57.39</v>
      </c>
    </row>
    <row r="2512">
      <c r="A2512" t="n">
        <v>-77362.8</v>
      </c>
      <c r="B2512">
        <f>+B2511+A2512</f>
        <v/>
      </c>
    </row>
    <row r="2513">
      <c r="A2513" t="n">
        <v>77379.89</v>
      </c>
      <c r="B2513">
        <f>+B2512+A2513</f>
        <v/>
      </c>
      <c r="C2513" t="n">
        <v>17.09</v>
      </c>
    </row>
    <row r="2514">
      <c r="A2514" t="n">
        <v>77394.97</v>
      </c>
      <c r="B2514">
        <f>+B2513+A2514</f>
        <v/>
      </c>
    </row>
    <row r="2515">
      <c r="A2515" t="n">
        <v>-77390.5</v>
      </c>
      <c r="B2515">
        <f>+B2514+A2515</f>
        <v/>
      </c>
      <c r="C2515" t="n">
        <v>4.47</v>
      </c>
    </row>
    <row r="2516">
      <c r="A2516" t="n">
        <v>77375.39</v>
      </c>
      <c r="B2516">
        <f>+B2515+A2516</f>
        <v/>
      </c>
    </row>
    <row r="2517">
      <c r="A2517" t="n">
        <v>-77344.5</v>
      </c>
      <c r="B2517">
        <f>+B2516+A2517</f>
        <v/>
      </c>
      <c r="C2517" t="n">
        <v>30.89</v>
      </c>
    </row>
    <row r="2518">
      <c r="A2518" t="n">
        <v>77344.39</v>
      </c>
      <c r="B2518">
        <f>+B2517+A2518</f>
        <v/>
      </c>
    </row>
    <row r="2519">
      <c r="A2519" t="n">
        <v>-77341.89</v>
      </c>
      <c r="B2519">
        <f>+B2518+A2519</f>
        <v/>
      </c>
      <c r="C2519" t="n">
        <v>2.5</v>
      </c>
    </row>
    <row r="2520">
      <c r="A2520" t="n">
        <v>-77390</v>
      </c>
      <c r="B2520">
        <f>+B2519+A2520</f>
        <v/>
      </c>
    </row>
    <row r="2521">
      <c r="A2521" t="n">
        <v>77400.39</v>
      </c>
      <c r="B2521">
        <f>+B2520+A2521</f>
        <v/>
      </c>
      <c r="C2521" t="n">
        <v>10.39</v>
      </c>
    </row>
    <row r="2522">
      <c r="A2522" t="n">
        <v>-77411.5</v>
      </c>
      <c r="B2522">
        <f>+B2521+A2522</f>
        <v/>
      </c>
    </row>
    <row r="2523">
      <c r="A2523" t="n">
        <v>77423.03</v>
      </c>
      <c r="B2523">
        <f>+B2522+A2523</f>
        <v/>
      </c>
      <c r="C2523" t="n">
        <v>11.53</v>
      </c>
    </row>
    <row r="2524">
      <c r="A2524" t="n">
        <v>77373.11</v>
      </c>
      <c r="B2524">
        <f>+B2523+A2524</f>
        <v/>
      </c>
    </row>
    <row r="2525">
      <c r="A2525" t="n">
        <v>-77368.89999999999</v>
      </c>
      <c r="B2525">
        <f>+B2524+A2525</f>
        <v/>
      </c>
      <c r="C2525" t="n">
        <v>4.21</v>
      </c>
    </row>
    <row r="2526">
      <c r="A2526" t="n">
        <v>77292.02</v>
      </c>
      <c r="B2526">
        <f>+B2525+A2526</f>
        <v/>
      </c>
    </row>
    <row r="2527">
      <c r="A2527" t="n">
        <v>-77302.99000000001</v>
      </c>
      <c r="B2527">
        <f>+B2526+A2527</f>
        <v/>
      </c>
      <c r="C2527" t="n">
        <v>-10.97</v>
      </c>
    </row>
    <row r="2528">
      <c r="A2528" t="n">
        <v>77308.39</v>
      </c>
      <c r="B2528">
        <f>+B2527+A2528</f>
        <v/>
      </c>
    </row>
    <row r="2529">
      <c r="A2529" t="n">
        <v>-77307.89999999999</v>
      </c>
      <c r="B2529">
        <f>+B2528+A2529</f>
        <v/>
      </c>
      <c r="C2529" t="n">
        <v>0.49</v>
      </c>
    </row>
    <row r="2530">
      <c r="A2530" t="n">
        <v>77276.34</v>
      </c>
      <c r="B2530">
        <f>+B2529+A2530</f>
        <v/>
      </c>
    </row>
    <row r="2531">
      <c r="A2531" t="n">
        <v>-77285</v>
      </c>
      <c r="B2531">
        <f>+B2530+A2531</f>
        <v/>
      </c>
      <c r="C2531" t="n">
        <v>-8.66</v>
      </c>
    </row>
    <row r="2532">
      <c r="B2532" t="inlineStr">
        <is>
          <t xml:space="preserve">合計 </t>
        </is>
      </c>
      <c r="C2532" s="80">
        <f>SUM(C2506:C2531)</f>
        <v/>
      </c>
    </row>
    <row r="2533">
      <c r="B2533" t="inlineStr">
        <is>
          <t>核驗</t>
        </is>
      </c>
      <c r="C2533" s="80">
        <f>+B2531-B2505</f>
        <v/>
      </c>
    </row>
    <row r="2535">
      <c r="A2535" t="inlineStr">
        <is>
          <t>2026.08.10當沖</t>
        </is>
      </c>
      <c r="B2535" t="inlineStr">
        <is>
          <t>買</t>
        </is>
      </c>
      <c r="C2535" s="80">
        <f>SUMIF(A2506:A2531,"&lt;0")</f>
        <v/>
      </c>
    </row>
    <row r="2536">
      <c r="A2536">
        <f>"SPY " &amp; COUNT(C2506:C2531) * 100 &amp; "股"</f>
        <v/>
      </c>
      <c r="B2536" t="inlineStr">
        <is>
          <t>賣</t>
        </is>
      </c>
      <c r="C2536" s="80">
        <f>SUMIF(A2506:A2531,"&gt;0")</f>
        <v/>
      </c>
    </row>
    <row r="2537">
      <c r="B2537" t="inlineStr">
        <is>
          <t>當日損益</t>
        </is>
      </c>
      <c r="C2537" s="80">
        <f>+C2535+C2536</f>
        <v/>
      </c>
    </row>
    <row r="2538">
      <c r="B2538" t="inlineStr">
        <is>
          <t>當日損益 %</t>
        </is>
      </c>
      <c r="C2538" s="45">
        <f>C2537/ABS(C2535)</f>
        <v/>
      </c>
    </row>
    <row r="2541">
      <c r="A2541" t="inlineStr">
        <is>
          <t>2026.09.10</t>
        </is>
      </c>
      <c r="B2541" t="n">
        <v>115848.8</v>
      </c>
      <c r="C2541" t="inlineStr">
        <is>
          <t>損益</t>
        </is>
      </c>
    </row>
    <row r="2542">
      <c r="A2542" t="n">
        <v>-75688.5</v>
      </c>
      <c r="B2542">
        <f>+B2541+A2542</f>
        <v/>
      </c>
    </row>
    <row r="2543">
      <c r="B2543" t="inlineStr">
        <is>
          <t xml:space="preserve">合計 </t>
        </is>
      </c>
      <c r="C2543">
        <f>SUM(C2542:C2542)</f>
        <v/>
      </c>
    </row>
    <row r="2544">
      <c r="B2544" t="inlineStr">
        <is>
          <t>核驗</t>
        </is>
      </c>
      <c r="C2544">
        <f>+B2542-B2541</f>
        <v/>
      </c>
    </row>
    <row r="2546">
      <c r="A2546" t="inlineStr">
        <is>
          <t>累積留倉   100股</t>
        </is>
      </c>
    </row>
    <row r="2547">
      <c r="A2547" t="inlineStr">
        <is>
          <t>2026.09.10 留倉</t>
        </is>
      </c>
      <c r="B2547" t="inlineStr">
        <is>
          <t>買 100股</t>
        </is>
      </c>
      <c r="C2547" t="n">
        <v>-75688.5</v>
      </c>
    </row>
    <row r="2550">
      <c r="A2550" t="inlineStr">
        <is>
          <t>2026.09.10</t>
        </is>
      </c>
      <c r="B2550" t="n">
        <v>115848.8</v>
      </c>
      <c r="C2550" t="inlineStr">
        <is>
          <t>損益</t>
        </is>
      </c>
    </row>
    <row r="2551">
      <c r="A2551" t="n">
        <v>-75688.5</v>
      </c>
      <c r="B2551">
        <f>+B2550+A2551</f>
        <v/>
      </c>
    </row>
    <row r="2552">
      <c r="B2552" t="inlineStr">
        <is>
          <t xml:space="preserve">合計 </t>
        </is>
      </c>
      <c r="C2552">
        <f>SUM(C2551:C2551)</f>
        <v/>
      </c>
    </row>
    <row r="2553">
      <c r="B2553" t="inlineStr">
        <is>
          <t>核驗</t>
        </is>
      </c>
      <c r="C2553">
        <f>+B2551-B2550</f>
        <v/>
      </c>
    </row>
    <row r="2555">
      <c r="A2555" t="inlineStr">
        <is>
          <t>累積留倉   100股</t>
        </is>
      </c>
    </row>
    <row r="2556">
      <c r="A2556" t="inlineStr">
        <is>
          <t>2026.09.10 留倉</t>
        </is>
      </c>
      <c r="B2556" t="inlineStr">
        <is>
          <t>買 100股</t>
        </is>
      </c>
      <c r="C2556" t="n">
        <v>-75688.5</v>
      </c>
    </row>
    <row r="2559">
      <c r="A2559" t="inlineStr">
        <is>
          <t>2026.09.16</t>
        </is>
      </c>
      <c r="B2559" t="n">
        <v>40160.3</v>
      </c>
      <c r="C2559" t="inlineStr">
        <is>
          <t>損益</t>
        </is>
      </c>
    </row>
    <row r="2560">
      <c r="A2560" t="n">
        <v>-75916</v>
      </c>
      <c r="B2560">
        <f>+B2559+A2560</f>
        <v/>
      </c>
    </row>
    <row r="2561">
      <c r="A2561" t="n">
        <v>75939.92</v>
      </c>
      <c r="B2561">
        <f>+B2560+A2561</f>
        <v/>
      </c>
      <c r="C2561" t="n">
        <v>23.92</v>
      </c>
    </row>
    <row r="2562">
      <c r="B2562" t="inlineStr">
        <is>
          <t xml:space="preserve">合計 </t>
        </is>
      </c>
      <c r="C2562">
        <f>SUM(C2560:C2561)</f>
        <v/>
      </c>
    </row>
    <row r="2563">
      <c r="B2563" t="inlineStr">
        <is>
          <t>核驗</t>
        </is>
      </c>
      <c r="C2563">
        <f>+B2561-B2559</f>
        <v/>
      </c>
    </row>
    <row r="2565">
      <c r="A2565" t="inlineStr">
        <is>
          <t>2026.09.16當沖</t>
        </is>
      </c>
      <c r="B2565" t="inlineStr">
        <is>
          <t>買</t>
        </is>
      </c>
      <c r="C2565" s="80">
        <f>SUMIF(A2560:A2561,"&lt;0")</f>
        <v/>
      </c>
    </row>
    <row r="2566">
      <c r="A2566">
        <f>"SPY " &amp; COUNT(C2560:C2561) * 100 &amp; "股"</f>
        <v/>
      </c>
      <c r="B2566" t="inlineStr">
        <is>
          <t>賣</t>
        </is>
      </c>
      <c r="C2566" s="80">
        <f>SUMIF(A2560:A2561,"&gt;0")</f>
        <v/>
      </c>
    </row>
    <row r="2567">
      <c r="B2567" t="inlineStr">
        <is>
          <t>當日損益</t>
        </is>
      </c>
      <c r="C2567" s="80">
        <f>+C2565+C2566</f>
        <v/>
      </c>
    </row>
    <row r="2568">
      <c r="B2568" t="inlineStr">
        <is>
          <t>當日損益 %</t>
        </is>
      </c>
      <c r="C2568" s="45">
        <f>C2567/ABS(C2565)</f>
        <v/>
      </c>
    </row>
    <row r="2570">
      <c r="A2570" t="inlineStr">
        <is>
          <t>累積留倉   100股</t>
        </is>
      </c>
    </row>
    <row r="2571">
      <c r="A2571" t="inlineStr">
        <is>
          <t>2026.09.10 留倉</t>
        </is>
      </c>
      <c r="B2571" t="inlineStr">
        <is>
          <t>買 100股</t>
        </is>
      </c>
      <c r="C2571" t="n">
        <v>-75688.5</v>
      </c>
    </row>
    <row r="2574" s="44">
      <c r="A2574" t="inlineStr">
        <is>
          <t>2026.09.21</t>
        </is>
      </c>
      <c r="B2574" s="81" t="n">
        <v>40184.22</v>
      </c>
      <c r="C2574" t="inlineStr">
        <is>
          <t>損益</t>
        </is>
      </c>
    </row>
    <row r="2575" s="44">
      <c r="A2575" t="n">
        <v>76905.41</v>
      </c>
      <c r="B2575">
        <f>+B2574+A2575</f>
        <v/>
      </c>
    </row>
    <row r="2576" s="44">
      <c r="B2576" t="inlineStr">
        <is>
          <t xml:space="preserve">合計 </t>
        </is>
      </c>
      <c r="C2576">
        <f>SUM(C2575:C2575)</f>
        <v/>
      </c>
    </row>
    <row r="2577" s="44">
      <c r="B2577" t="inlineStr">
        <is>
          <t>核驗</t>
        </is>
      </c>
      <c r="C2577">
        <f>+B2575-B2574-A2575</f>
        <v/>
      </c>
    </row>
    <row r="2578" s="44"/>
    <row r="2579" s="44">
      <c r="A2579" t="inlineStr">
        <is>
          <t>累積留倉   0股</t>
        </is>
      </c>
    </row>
    <row r="2580" s="44">
      <c r="A2580" t="inlineStr">
        <is>
          <t>2026.09.10 留倉</t>
        </is>
      </c>
      <c r="B2580" t="inlineStr">
        <is>
          <t>買 100股</t>
        </is>
      </c>
      <c r="C2580" s="80" t="n">
        <v>-75688.5</v>
      </c>
    </row>
    <row r="2581">
      <c r="A2581" t="inlineStr">
        <is>
          <t>2026.09.18 配息</t>
        </is>
      </c>
      <c r="B2581" s="83" t="n">
        <v>1.88883</v>
      </c>
      <c r="C2581" s="80">
        <f>100*1.88883*0.7</f>
        <v/>
      </c>
    </row>
    <row r="2582" s="44">
      <c r="A2582" s="41" t="inlineStr">
        <is>
          <t>2026.09.21 平倉</t>
        </is>
      </c>
      <c r="B2582" t="inlineStr">
        <is>
          <t>賣100股</t>
        </is>
      </c>
      <c r="C2582" s="71">
        <f>+A2575</f>
        <v/>
      </c>
    </row>
    <row r="2583" s="44">
      <c r="A2583" s="41" t="n"/>
      <c r="B2583" t="inlineStr">
        <is>
          <t>平倉損益</t>
        </is>
      </c>
      <c r="C2583" s="80">
        <f>+C2580+C2582+C2581</f>
        <v/>
      </c>
    </row>
    <row r="2584" s="44">
      <c r="A2584" s="41" t="n"/>
      <c r="B2584" t="inlineStr">
        <is>
          <t>平倉損益 %</t>
        </is>
      </c>
      <c r="C2584" s="42">
        <f>C2583/ABS(C2580)</f>
        <v/>
      </c>
    </row>
    <row r="2587">
      <c r="A2587" t="inlineStr">
        <is>
          <t>2026.09.28</t>
        </is>
      </c>
      <c r="B2587" t="n">
        <v>117089.63</v>
      </c>
      <c r="C2587" t="inlineStr">
        <is>
          <t>損益</t>
        </is>
      </c>
    </row>
    <row r="2588">
      <c r="A2588" t="n">
        <v>-76610.5</v>
      </c>
      <c r="B2588">
        <f>+B2587+A2588</f>
        <v/>
      </c>
    </row>
    <row r="2589">
      <c r="B2589" t="inlineStr">
        <is>
          <t xml:space="preserve">合計 </t>
        </is>
      </c>
      <c r="C2589">
        <f>SUM(C2588:C2588)</f>
        <v/>
      </c>
    </row>
    <row r="2590">
      <c r="B2590" t="inlineStr">
        <is>
          <t>核驗</t>
        </is>
      </c>
      <c r="C2590">
        <f>+B2588-B2587</f>
        <v/>
      </c>
    </row>
    <row r="2592">
      <c r="A2592" t="inlineStr">
        <is>
          <t>累積留倉   100股</t>
        </is>
      </c>
    </row>
    <row r="2593">
      <c r="A2593" t="inlineStr">
        <is>
          <t>2026.09.28 留倉</t>
        </is>
      </c>
      <c r="B2593" t="inlineStr">
        <is>
          <t>買 100股</t>
        </is>
      </c>
      <c r="C2593" t="n">
        <v>-76610.5</v>
      </c>
    </row>
    <row r="2596">
      <c r="A2596" t="inlineStr">
        <is>
          <t>2026.09.29</t>
        </is>
      </c>
      <c r="B2596" s="81" t="n">
        <v>40479.13</v>
      </c>
      <c r="C2596" t="inlineStr">
        <is>
          <t>損益</t>
        </is>
      </c>
    </row>
    <row r="2597">
      <c r="A2597" t="n">
        <v>76353.5</v>
      </c>
      <c r="B2597">
        <f>+B2596+A2597</f>
        <v/>
      </c>
    </row>
    <row r="2598">
      <c r="B2598" t="inlineStr">
        <is>
          <t xml:space="preserve">合計 </t>
        </is>
      </c>
      <c r="C2598">
        <f>SUM(C2597:C2597)</f>
        <v/>
      </c>
    </row>
    <row r="2599">
      <c r="B2599" t="inlineStr">
        <is>
          <t>核驗</t>
        </is>
      </c>
      <c r="C2599">
        <f>+B2597-B2596-A2597</f>
        <v/>
      </c>
    </row>
    <row r="2602">
      <c r="A2602" t="inlineStr">
        <is>
          <t>2026.10.15</t>
        </is>
      </c>
      <c r="B2602" t="n">
        <v>2382534.74</v>
      </c>
      <c r="C2602" t="inlineStr">
        <is>
          <t>損益</t>
        </is>
      </c>
    </row>
    <row r="2603">
      <c r="A2603" t="n">
        <v>-76993.67</v>
      </c>
      <c r="B2603">
        <f>+B2602+A2603</f>
        <v/>
      </c>
    </row>
    <row r="2604">
      <c r="A2604" t="n">
        <v>77062.91</v>
      </c>
      <c r="B2604">
        <f>+B2603+A2604</f>
        <v/>
      </c>
      <c r="C2604" t="n">
        <v>69.23999999999999</v>
      </c>
    </row>
    <row r="2605">
      <c r="A2605" t="n">
        <v>-77020</v>
      </c>
      <c r="B2605">
        <f>+B2604+A2605</f>
        <v/>
      </c>
    </row>
    <row r="2606">
      <c r="A2606" t="n">
        <v>76998.42</v>
      </c>
      <c r="B2606">
        <f>+B2605+A2606</f>
        <v/>
      </c>
      <c r="C2606" t="n">
        <v>-21.58</v>
      </c>
    </row>
    <row r="2607">
      <c r="B2607" t="inlineStr">
        <is>
          <t xml:space="preserve">合計 </t>
        </is>
      </c>
      <c r="C2607" s="80">
        <f>SUM(C2603:C2606)</f>
        <v/>
      </c>
    </row>
    <row r="2608">
      <c r="B2608" t="inlineStr">
        <is>
          <t>核驗</t>
        </is>
      </c>
      <c r="C2608" s="80">
        <f>+B2606-B2602</f>
        <v/>
      </c>
    </row>
    <row r="2610">
      <c r="A2610" t="inlineStr">
        <is>
          <t>2026.10.15當沖</t>
        </is>
      </c>
      <c r="B2610" t="inlineStr">
        <is>
          <t>買</t>
        </is>
      </c>
      <c r="C2610" s="80">
        <f>SUMIF(A2603:A2606,"&lt;0")</f>
        <v/>
      </c>
    </row>
    <row r="2611">
      <c r="A2611">
        <f>"SPY " &amp; COUNT(C2603:C2606) * 100 &amp; "股"</f>
        <v/>
      </c>
      <c r="B2611" t="inlineStr">
        <is>
          <t>賣</t>
        </is>
      </c>
      <c r="C2611" s="80">
        <f>SUMIF(A2603:A2606,"&gt;0")</f>
        <v/>
      </c>
    </row>
    <row r="2612">
      <c r="B2612" t="inlineStr">
        <is>
          <t>當日損益</t>
        </is>
      </c>
      <c r="C2612" s="80">
        <f>+C2610+C2611</f>
        <v/>
      </c>
    </row>
    <row r="2613">
      <c r="B2613" t="inlineStr">
        <is>
          <t>當日損益 %</t>
        </is>
      </c>
      <c r="C2613" s="45">
        <f>C2612/ABS(C2610)</f>
        <v/>
      </c>
    </row>
    <row r="2615">
      <c r="A2615" t="inlineStr">
        <is>
          <t>累積留倉   0股</t>
        </is>
      </c>
    </row>
    <row r="2616">
      <c r="A2616" t="inlineStr">
        <is>
          <t>2026.09.28 留倉</t>
        </is>
      </c>
      <c r="B2616" t="inlineStr">
        <is>
          <t>買 100股</t>
        </is>
      </c>
      <c r="C2616" t="n">
        <v>-76610.5</v>
      </c>
    </row>
    <row r="2617">
      <c r="A2617" t="inlineStr">
        <is>
          <t>2026.09.29 平倉</t>
        </is>
      </c>
      <c r="B2617" t="inlineStr">
        <is>
          <t>賣100股</t>
        </is>
      </c>
      <c r="C2617">
        <f>+A2597</f>
        <v/>
      </c>
    </row>
    <row r="2618">
      <c r="B2618" t="inlineStr">
        <is>
          <t>平倉損益</t>
        </is>
      </c>
      <c r="C2618">
        <f>+C2616+C2617</f>
        <v/>
      </c>
    </row>
    <row r="2619">
      <c r="B2619" t="inlineStr">
        <is>
          <t>平倉損益 %</t>
        </is>
      </c>
      <c r="C2619">
        <f>C2618/ABS(C2616)</f>
        <v/>
      </c>
    </row>
    <row r="2622">
      <c r="A2622" t="inlineStr">
        <is>
          <t>2026.10.16</t>
        </is>
      </c>
      <c r="B2622" t="n">
        <v>2382534.74</v>
      </c>
      <c r="C2622" t="inlineStr">
        <is>
          <t>損益</t>
        </is>
      </c>
    </row>
    <row r="2623">
      <c r="A2623" t="n">
        <v>-76763.5</v>
      </c>
      <c r="B2623">
        <f>+B2622+A2623</f>
        <v/>
      </c>
    </row>
    <row r="2624">
      <c r="A2624" t="n">
        <v>76776.78999999999</v>
      </c>
      <c r="B2624">
        <f>+B2623+A2624</f>
        <v/>
      </c>
      <c r="C2624" t="n">
        <v>13.29</v>
      </c>
    </row>
    <row r="2625">
      <c r="A2625" t="n">
        <v>-76663.96000000001</v>
      </c>
      <c r="B2625">
        <f>+B2624+A2625</f>
        <v/>
      </c>
    </row>
    <row r="2626">
      <c r="A2626" t="n">
        <v>-76592.61</v>
      </c>
      <c r="B2626">
        <f>+B2625+A2626</f>
        <v/>
      </c>
    </row>
    <row r="2627">
      <c r="A2627" t="n">
        <v>-76401</v>
      </c>
      <c r="B2627">
        <f>+B2626+A2627</f>
        <v/>
      </c>
    </row>
    <row r="2628">
      <c r="B2628" t="inlineStr">
        <is>
          <t xml:space="preserve">合計 </t>
        </is>
      </c>
      <c r="C2628" s="80">
        <f>SUM(C2623:C2627)</f>
        <v/>
      </c>
    </row>
    <row r="2629">
      <c r="B2629" t="inlineStr">
        <is>
          <t>核驗</t>
        </is>
      </c>
      <c r="C2629" s="80">
        <f>+B2627-B2622-A2625-A2626-A2627</f>
        <v/>
      </c>
    </row>
    <row r="2631">
      <c r="A2631" t="inlineStr">
        <is>
          <t>2026.10.16當沖</t>
        </is>
      </c>
      <c r="B2631" t="inlineStr">
        <is>
          <t>買</t>
        </is>
      </c>
      <c r="C2631" s="80">
        <f>SUMIF(A2623:A2624,"&lt;0")</f>
        <v/>
      </c>
    </row>
    <row r="2632">
      <c r="A2632">
        <f>"SPY " &amp; COUNT(C2623:C2624) * 100 &amp; "股"</f>
        <v/>
      </c>
      <c r="B2632" t="inlineStr">
        <is>
          <t>賣</t>
        </is>
      </c>
      <c r="C2632" s="80">
        <f>SUMIF(A2623:A2624,"&gt;0")</f>
        <v/>
      </c>
    </row>
    <row r="2633">
      <c r="B2633" t="inlineStr">
        <is>
          <t>當日損益</t>
        </is>
      </c>
      <c r="C2633" s="80">
        <f>+C2631+C2632</f>
        <v/>
      </c>
    </row>
    <row r="2634">
      <c r="B2634" t="inlineStr">
        <is>
          <t>當日損益 %</t>
        </is>
      </c>
      <c r="C2634" s="45">
        <f>C2633/ABS(C2631)</f>
        <v/>
      </c>
    </row>
    <row r="2636">
      <c r="A2636" t="inlineStr">
        <is>
          <t>累積留倉   300股</t>
        </is>
      </c>
    </row>
    <row r="2637">
      <c r="A2637" t="inlineStr">
        <is>
          <t>2026.10.16 留倉</t>
        </is>
      </c>
      <c r="B2637" t="inlineStr">
        <is>
          <t>買 100股</t>
        </is>
      </c>
      <c r="C2637" t="n">
        <v>-76663.96000000001</v>
      </c>
    </row>
    <row r="2638">
      <c r="A2638" t="inlineStr">
        <is>
          <t>2026.10.16 留倉</t>
        </is>
      </c>
      <c r="B2638" t="inlineStr">
        <is>
          <t>買 100股</t>
        </is>
      </c>
      <c r="C2638" t="n">
        <v>-76592.61</v>
      </c>
    </row>
    <row r="2639">
      <c r="A2639" t="inlineStr">
        <is>
          <t>2026.10.16 留倉</t>
        </is>
      </c>
      <c r="B2639" t="inlineStr">
        <is>
          <t>買 100股</t>
        </is>
      </c>
      <c r="C2639" t="n">
        <v>-76401</v>
      </c>
    </row>
  </sheetData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topLeftCell="A13" workbookViewId="0">
      <selection activeCell="B31" sqref="B31:C31"/>
    </sheetView>
  </sheetViews>
  <sheetFormatPr baseColWidth="8" defaultRowHeight="16.5"/>
  <cols>
    <col width="18.75" customWidth="1" style="44" min="1" max="1"/>
  </cols>
  <sheetData>
    <row r="1" ht="17.25" customHeight="1" s="44" thickBot="1">
      <c r="A1" s="34" t="inlineStr">
        <is>
          <t>日期</t>
        </is>
      </c>
      <c r="B1" s="34" t="inlineStr">
        <is>
          <t>當日損益</t>
        </is>
      </c>
      <c r="C1" s="35" t="inlineStr">
        <is>
          <t>累積損益</t>
        </is>
      </c>
    </row>
    <row r="2">
      <c r="A2" s="87" t="n">
        <v>46147</v>
      </c>
      <c r="B2" s="41" t="n">
        <v>286.24</v>
      </c>
      <c r="C2" s="41" t="n">
        <v>286.24</v>
      </c>
    </row>
    <row r="3">
      <c r="A3" s="87" t="n">
        <v>46149</v>
      </c>
      <c r="B3" s="41" t="n">
        <v>55.02</v>
      </c>
      <c r="C3" s="41">
        <f>C2+B3</f>
        <v/>
      </c>
    </row>
    <row r="4">
      <c r="A4" s="87" t="n">
        <v>46150</v>
      </c>
      <c r="B4" s="41" t="n">
        <v>388.37</v>
      </c>
      <c r="C4" s="41">
        <f>C3+B4</f>
        <v/>
      </c>
    </row>
    <row r="5">
      <c r="A5" s="87" t="n">
        <v>46153</v>
      </c>
      <c r="B5" s="41" t="n">
        <v>-23.13000000000466</v>
      </c>
      <c r="C5" s="41">
        <f>C4+B5</f>
        <v/>
      </c>
    </row>
    <row r="6">
      <c r="A6" s="87" t="n">
        <v>46154</v>
      </c>
      <c r="B6" s="41" t="n">
        <v>85.49000000001979</v>
      </c>
      <c r="C6" s="41">
        <f>C5+B6</f>
        <v/>
      </c>
    </row>
    <row r="7">
      <c r="A7" s="87" t="n">
        <v>46155</v>
      </c>
      <c r="B7" s="41" t="n">
        <v>863.6800000000221</v>
      </c>
      <c r="C7" s="41">
        <f>C6+B7</f>
        <v/>
      </c>
    </row>
    <row r="8">
      <c r="A8" s="87" t="n">
        <v>46156</v>
      </c>
      <c r="B8" s="41" t="n">
        <v>11.46000000002095</v>
      </c>
      <c r="C8" s="41">
        <f>C7+B8</f>
        <v/>
      </c>
    </row>
    <row r="9">
      <c r="A9" s="87" t="n">
        <v>46157</v>
      </c>
      <c r="B9" s="41" t="n">
        <v>98.90000000000001</v>
      </c>
      <c r="C9" s="41">
        <f>C8+B9</f>
        <v/>
      </c>
    </row>
    <row r="10">
      <c r="A10" s="87" t="n">
        <v>46160</v>
      </c>
      <c r="B10" s="41" t="n">
        <v>-141.0699999999779</v>
      </c>
      <c r="C10" s="41">
        <f>C9+B10</f>
        <v/>
      </c>
    </row>
    <row r="11">
      <c r="A11" s="87" t="n">
        <v>46161</v>
      </c>
      <c r="B11" s="41" t="n">
        <v>-63.03000000002794</v>
      </c>
      <c r="C11" s="41">
        <f>C10+B11</f>
        <v/>
      </c>
    </row>
    <row r="12">
      <c r="A12" s="87" t="n">
        <v>46162</v>
      </c>
      <c r="B12" t="n">
        <v>433.48</v>
      </c>
      <c r="C12">
        <f>C11+B12</f>
        <v/>
      </c>
    </row>
    <row r="13">
      <c r="A13" s="87" t="n">
        <v>46163</v>
      </c>
      <c r="B13" t="n">
        <v>3.8</v>
      </c>
      <c r="C13">
        <f>C12+B13</f>
        <v/>
      </c>
    </row>
    <row r="14">
      <c r="A14" s="87" t="n">
        <v>46164</v>
      </c>
      <c r="B14" t="n">
        <v>1251.74</v>
      </c>
      <c r="C14">
        <f>C13+B14</f>
        <v/>
      </c>
    </row>
    <row r="15">
      <c r="A15" s="87" t="n">
        <v>46168</v>
      </c>
      <c r="B15" t="n">
        <v>31.71</v>
      </c>
      <c r="C15">
        <f>C14+B15</f>
        <v/>
      </c>
    </row>
    <row r="16">
      <c r="A16" s="87" t="n">
        <v>46169</v>
      </c>
      <c r="B16" t="n">
        <v>39.27</v>
      </c>
      <c r="C16">
        <f>C15+B16</f>
        <v/>
      </c>
    </row>
    <row r="17">
      <c r="A17" s="87" t="n">
        <v>46170</v>
      </c>
      <c r="B17" t="n">
        <v>350.39</v>
      </c>
      <c r="C17">
        <f>C16+B17</f>
        <v/>
      </c>
    </row>
    <row r="18">
      <c r="A18" s="87" t="n">
        <v>46171</v>
      </c>
      <c r="B18" t="n">
        <v>92.37</v>
      </c>
      <c r="C18">
        <f>C17+B18</f>
        <v/>
      </c>
    </row>
    <row r="19">
      <c r="A19" s="87" t="n">
        <v>46176</v>
      </c>
      <c r="B19" t="n">
        <v>160.87</v>
      </c>
      <c r="C19">
        <f>C18+B19</f>
        <v/>
      </c>
    </row>
    <row r="20">
      <c r="A20" s="87" t="n">
        <v>46177</v>
      </c>
      <c r="B20" t="n">
        <v>185.85</v>
      </c>
      <c r="C20">
        <f>C19+B20</f>
        <v/>
      </c>
    </row>
    <row r="21">
      <c r="A21" s="87" t="n">
        <v>46178</v>
      </c>
      <c r="B21" t="n">
        <v>83.72</v>
      </c>
      <c r="C21">
        <f>C20+B21</f>
        <v/>
      </c>
    </row>
    <row r="22">
      <c r="A22" s="87" t="n">
        <v>46181</v>
      </c>
      <c r="B22" t="n">
        <v>-132.51</v>
      </c>
      <c r="C22">
        <f>C21+B22</f>
        <v/>
      </c>
    </row>
    <row r="23">
      <c r="A23" s="87" t="n">
        <v>46182</v>
      </c>
      <c r="B23" t="n">
        <v>-253.05</v>
      </c>
      <c r="C23">
        <f>C22+B23</f>
        <v/>
      </c>
    </row>
    <row r="24">
      <c r="A24" s="88" t="n">
        <v>46183</v>
      </c>
      <c r="B24" t="n">
        <v>195.65</v>
      </c>
      <c r="C24">
        <f>C23+B24</f>
        <v/>
      </c>
    </row>
    <row r="25">
      <c r="A25" s="88" t="n">
        <v>46184</v>
      </c>
      <c r="B25" t="n">
        <v>490.94</v>
      </c>
      <c r="C25">
        <f>C24+B25</f>
        <v/>
      </c>
    </row>
    <row r="26">
      <c r="A26" s="88" t="n">
        <v>46185</v>
      </c>
      <c r="B26" t="n">
        <v>174.42</v>
      </c>
      <c r="C26">
        <f>C25+B26</f>
        <v/>
      </c>
    </row>
    <row r="27">
      <c r="A27" s="88" t="n">
        <v>46188</v>
      </c>
      <c r="B27" t="n">
        <v>4117.87</v>
      </c>
      <c r="C27">
        <f>C26+B27</f>
        <v/>
      </c>
    </row>
    <row r="28">
      <c r="A28" s="88" t="n">
        <v>46189</v>
      </c>
      <c r="B28" t="n">
        <v>-42.35</v>
      </c>
      <c r="C28">
        <f>C27+B28</f>
        <v/>
      </c>
    </row>
    <row r="29">
      <c r="A29" s="88" t="n">
        <v>46190</v>
      </c>
      <c r="B29" t="n">
        <v>-81.77</v>
      </c>
      <c r="C29">
        <f>C28+B29</f>
        <v/>
      </c>
    </row>
    <row r="30">
      <c r="A30" s="88" t="n">
        <v>46191</v>
      </c>
      <c r="B30" t="n">
        <v>90.69</v>
      </c>
      <c r="C30">
        <f>C29+B30</f>
        <v/>
      </c>
    </row>
    <row r="31">
      <c r="A31" s="88" t="n">
        <v>46195</v>
      </c>
      <c r="B31" t="n">
        <v>26.21</v>
      </c>
      <c r="C31">
        <f>C30+B31</f>
        <v/>
      </c>
    </row>
    <row r="32">
      <c r="A32" s="88" t="n">
        <v>46196</v>
      </c>
      <c r="B32" t="n">
        <v>-137.54</v>
      </c>
      <c r="C32">
        <f>C31+B32</f>
        <v/>
      </c>
    </row>
    <row r="33">
      <c r="A33" s="88" t="n">
        <v>46197</v>
      </c>
      <c r="B33" t="n">
        <v>233.23</v>
      </c>
      <c r="C33">
        <f>C32+B33</f>
        <v/>
      </c>
    </row>
    <row r="34">
      <c r="A34" s="88" t="n">
        <v>46198</v>
      </c>
      <c r="B34" t="n">
        <v>1082.77</v>
      </c>
      <c r="C34">
        <f>C33+B34</f>
        <v/>
      </c>
    </row>
    <row r="35">
      <c r="A35" s="88" t="n">
        <v>46199</v>
      </c>
      <c r="B35" t="n">
        <v>-51.69</v>
      </c>
      <c r="C35">
        <f>C34+B35</f>
        <v/>
      </c>
    </row>
    <row r="36">
      <c r="A36" s="88" t="n">
        <v>46202</v>
      </c>
      <c r="B36" t="n">
        <v>29.84</v>
      </c>
      <c r="C36">
        <f>C35+B36</f>
        <v/>
      </c>
    </row>
    <row r="37">
      <c r="A37" s="88" t="n">
        <v>46203</v>
      </c>
      <c r="B37" t="n">
        <v>32.88</v>
      </c>
      <c r="C37">
        <f>C36+B37</f>
        <v/>
      </c>
    </row>
    <row r="38">
      <c r="A38" s="88" t="n">
        <v>46204</v>
      </c>
      <c r="B38" t="n">
        <v>-149.25</v>
      </c>
      <c r="C38">
        <f>C37+B38</f>
        <v/>
      </c>
    </row>
    <row r="39">
      <c r="A39" s="88" t="n">
        <v>46205</v>
      </c>
      <c r="B39" t="n">
        <v>-495.4</v>
      </c>
      <c r="C39">
        <f>C38+B39</f>
        <v/>
      </c>
    </row>
    <row r="40">
      <c r="A40" s="88" t="n">
        <v>46209</v>
      </c>
      <c r="B40" t="n">
        <v>154.76</v>
      </c>
      <c r="C40">
        <f>C39+B40</f>
        <v/>
      </c>
    </row>
    <row r="41">
      <c r="A41" s="88" t="n">
        <v>46210</v>
      </c>
      <c r="B41" t="n">
        <v>32.53</v>
      </c>
      <c r="C41">
        <f>C40+B41</f>
        <v/>
      </c>
    </row>
    <row r="42">
      <c r="A42" s="88" t="n">
        <v>46211</v>
      </c>
      <c r="B42" t="n">
        <v>-145.02</v>
      </c>
      <c r="C42">
        <f>C41+B42</f>
        <v/>
      </c>
    </row>
    <row r="43">
      <c r="A43" s="88" t="n">
        <v>46212</v>
      </c>
      <c r="B43" t="n">
        <v>72.84999999999999</v>
      </c>
      <c r="C43">
        <f>C42+B43</f>
        <v/>
      </c>
    </row>
    <row r="44">
      <c r="A44" s="88" t="n">
        <v>46213</v>
      </c>
      <c r="B44" t="n">
        <v>101</v>
      </c>
      <c r="C44">
        <f>C43+B44</f>
        <v/>
      </c>
    </row>
    <row r="45">
      <c r="A45" s="89" t="n">
        <v>46216</v>
      </c>
      <c r="B45" s="40" t="n">
        <v>22.9</v>
      </c>
      <c r="C45" s="40">
        <f>C44+B45</f>
        <v/>
      </c>
    </row>
    <row r="46">
      <c r="A46" s="88" t="n">
        <v>46217</v>
      </c>
      <c r="B46" t="n">
        <v>173.64</v>
      </c>
      <c r="C46">
        <f>C45+B46</f>
        <v/>
      </c>
    </row>
    <row r="47">
      <c r="A47" s="88" t="n">
        <v>46218</v>
      </c>
      <c r="B47" t="n">
        <v>167.84</v>
      </c>
      <c r="C47">
        <f>C46+B47</f>
        <v/>
      </c>
    </row>
    <row r="48">
      <c r="A48" s="43" t="n">
        <v>46219</v>
      </c>
      <c r="B48" t="n">
        <v>104</v>
      </c>
      <c r="C48">
        <f>C47+B48</f>
        <v/>
      </c>
    </row>
    <row r="49">
      <c r="A49" s="43" t="n">
        <v>46220</v>
      </c>
      <c r="B49" t="n">
        <v>203.93</v>
      </c>
      <c r="C49">
        <f>C48+B49</f>
        <v/>
      </c>
    </row>
    <row r="50">
      <c r="A50" s="88" t="n">
        <v>46223</v>
      </c>
      <c r="B50" t="n">
        <v>-180.74</v>
      </c>
      <c r="C50">
        <f>C49+B50</f>
        <v/>
      </c>
    </row>
    <row r="51">
      <c r="A51" s="88" t="n">
        <v>46224</v>
      </c>
      <c r="B51" t="n">
        <v>22.23</v>
      </c>
      <c r="C51">
        <f>C50+B51</f>
        <v/>
      </c>
    </row>
    <row r="52">
      <c r="A52" s="88" t="n">
        <v>46225</v>
      </c>
      <c r="B52" t="n">
        <v>-205.5</v>
      </c>
      <c r="C52">
        <f>C51+B52</f>
        <v/>
      </c>
    </row>
    <row r="53">
      <c r="A53" s="88" t="n">
        <v>46226</v>
      </c>
      <c r="B53" t="n">
        <v>146.08</v>
      </c>
      <c r="C53">
        <f>C52+B53</f>
        <v/>
      </c>
    </row>
    <row r="54">
      <c r="A54" s="88" t="n">
        <v>46227</v>
      </c>
      <c r="B54" t="n">
        <v>58.27</v>
      </c>
      <c r="C54">
        <f>C53+B54</f>
        <v/>
      </c>
    </row>
    <row r="55">
      <c r="A55" s="88" t="n">
        <v>46230</v>
      </c>
      <c r="B55" t="n">
        <v>-1485.25</v>
      </c>
      <c r="C55">
        <f>C54+B55</f>
        <v/>
      </c>
    </row>
    <row r="56">
      <c r="A56" s="88" t="n">
        <v>46231</v>
      </c>
      <c r="B56" t="n">
        <v>476.34</v>
      </c>
      <c r="C56">
        <f>C55+B56</f>
        <v/>
      </c>
    </row>
    <row r="57">
      <c r="A57" s="88" t="n">
        <v>46232</v>
      </c>
      <c r="B57" t="n">
        <v>-513.8200000000001</v>
      </c>
      <c r="C57">
        <f>C56+B57</f>
        <v/>
      </c>
    </row>
    <row r="58">
      <c r="A58" s="88" t="n">
        <v>46233</v>
      </c>
      <c r="B58" t="n">
        <v>276.27</v>
      </c>
      <c r="C58">
        <f>C57+B58</f>
        <v/>
      </c>
    </row>
    <row r="59">
      <c r="A59" s="88" t="n">
        <v>46234</v>
      </c>
      <c r="B59" t="n">
        <v>68.37</v>
      </c>
      <c r="C59">
        <f>C58+B59</f>
        <v/>
      </c>
    </row>
    <row r="60">
      <c r="A60" s="88" t="n">
        <v>46237</v>
      </c>
      <c r="B60" t="n">
        <v>-356.77</v>
      </c>
      <c r="C60">
        <f>C59+B60</f>
        <v/>
      </c>
    </row>
    <row r="61">
      <c r="A61" s="88" t="n">
        <v>46238</v>
      </c>
      <c r="B61" t="n">
        <v>38.24</v>
      </c>
      <c r="C61">
        <f>C60+B61</f>
        <v/>
      </c>
    </row>
    <row r="62">
      <c r="A62" s="88" t="n">
        <v>46239</v>
      </c>
      <c r="B62" t="n">
        <v>-10.24</v>
      </c>
      <c r="C62">
        <f>C61+B62</f>
        <v/>
      </c>
    </row>
    <row r="63">
      <c r="A63" s="88" t="n">
        <v>46240</v>
      </c>
      <c r="B63" t="n">
        <v>-189.41</v>
      </c>
      <c r="C63">
        <f>C62+B63</f>
        <v/>
      </c>
    </row>
    <row r="64">
      <c r="A64" s="86" t="n">
        <v>46241</v>
      </c>
      <c r="B64" t="n">
        <v>48.83</v>
      </c>
      <c r="C64">
        <f>C63+B64</f>
        <v/>
      </c>
    </row>
    <row r="65">
      <c r="A65" s="86" t="n">
        <v>46244</v>
      </c>
      <c r="B65" t="n">
        <v>108.62</v>
      </c>
      <c r="C65">
        <f>C64+B65</f>
        <v/>
      </c>
    </row>
    <row r="66">
      <c r="A66" s="86" t="n">
        <v>46281</v>
      </c>
      <c r="B66" t="n">
        <v>23.92</v>
      </c>
      <c r="C66">
        <f>C65+B66</f>
        <v/>
      </c>
    </row>
    <row r="67">
      <c r="A67" s="86" t="n">
        <v>46286</v>
      </c>
      <c r="B67" t="n">
        <v>1349.13</v>
      </c>
      <c r="C67">
        <f>C66+B67</f>
        <v/>
      </c>
    </row>
    <row r="68">
      <c r="A68" s="86" t="n">
        <v>46294</v>
      </c>
      <c r="B68" t="n">
        <v>-257</v>
      </c>
      <c r="C68">
        <f>C67+B68</f>
        <v/>
      </c>
    </row>
    <row r="69">
      <c r="A69" s="86" t="n">
        <v>46310</v>
      </c>
      <c r="B69" t="n">
        <v>47.66</v>
      </c>
      <c r="C69">
        <f>C68+B69</f>
        <v/>
      </c>
    </row>
    <row r="70">
      <c r="A70" s="86" t="n">
        <v>46311</v>
      </c>
      <c r="B70" t="n">
        <v>13.29</v>
      </c>
      <c r="C70">
        <f>C69+B70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2026-10-19T03:14:09Z</dcterms:modified>
  <cp:lastModifiedBy>USER</cp:lastModifiedBy>
</cp:coreProperties>
</file>