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52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4"/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39"/>
    <row r="2540"/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5"/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48"/>
    <row r="2549"/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4"/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7"/>
    <row r="2558"/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4"/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69"/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2"/>
    <row r="2573"/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5"/>
    <row r="2586"/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1"/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4"/>
    <row r="2595"/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0"/>
    <row r="2601"/>
    <row r="2602">
      <c r="A2602" t="inlineStr">
        <is>
          <t>2026.10.15</t>
        </is>
      </c>
      <c r="B2602" t="n">
        <v>2382534.74</v>
      </c>
      <c r="C2602" t="inlineStr">
        <is>
          <t>損益</t>
        </is>
      </c>
    </row>
    <row r="2603">
      <c r="A2603" t="n">
        <v>-76993.67</v>
      </c>
      <c r="B2603">
        <f>+B2602+A2603</f>
        <v/>
      </c>
    </row>
    <row r="2604">
      <c r="A2604" t="n">
        <v>77062.91</v>
      </c>
      <c r="B2604">
        <f>+B2603+A2604</f>
        <v/>
      </c>
      <c r="C2604" t="n">
        <v>69.23999999999999</v>
      </c>
    </row>
    <row r="2605">
      <c r="A2605" t="n">
        <v>-77020</v>
      </c>
      <c r="B2605">
        <f>+B2604+A2605</f>
        <v/>
      </c>
    </row>
    <row r="2606">
      <c r="A2606" t="n">
        <v>76998.42</v>
      </c>
      <c r="B2606">
        <f>+B2605+A2606</f>
        <v/>
      </c>
      <c r="C2606" t="n">
        <v>-21.58</v>
      </c>
    </row>
    <row r="2607">
      <c r="B2607" t="inlineStr">
        <is>
          <t xml:space="preserve">合計 </t>
        </is>
      </c>
      <c r="C2607" s="80">
        <f>SUM(C2603:C2606)</f>
        <v/>
      </c>
    </row>
    <row r="2608">
      <c r="B2608" t="inlineStr">
        <is>
          <t>核驗</t>
        </is>
      </c>
      <c r="C2608" s="80">
        <f>+B2606-B2602</f>
        <v/>
      </c>
    </row>
    <row r="2609"/>
    <row r="2610">
      <c r="A2610" t="inlineStr">
        <is>
          <t>2026.10.15當沖</t>
        </is>
      </c>
      <c r="B2610" t="inlineStr">
        <is>
          <t>買</t>
        </is>
      </c>
      <c r="C2610" s="80">
        <f>SUMIF(A2603:A2606,"&lt;0")</f>
        <v/>
      </c>
    </row>
    <row r="2611">
      <c r="A2611">
        <f>"SPY " &amp; COUNT(C2603:C2606) * 100 &amp; "股"</f>
        <v/>
      </c>
      <c r="B2611" t="inlineStr">
        <is>
          <t>賣</t>
        </is>
      </c>
      <c r="C2611" s="80">
        <f>SUMIF(A2603:A2606,"&gt;0")</f>
        <v/>
      </c>
    </row>
    <row r="2612">
      <c r="B2612" t="inlineStr">
        <is>
          <t>當日損益</t>
        </is>
      </c>
      <c r="C2612" s="80">
        <f>+C2610+C2611</f>
        <v/>
      </c>
    </row>
    <row r="2613">
      <c r="B2613" t="inlineStr">
        <is>
          <t>當日損益 %</t>
        </is>
      </c>
      <c r="C2613" s="45">
        <f>C2612/ABS(C2610)</f>
        <v/>
      </c>
    </row>
    <row r="2614"/>
    <row r="2615">
      <c r="A2615" t="inlineStr">
        <is>
          <t>累積留倉   0股</t>
        </is>
      </c>
    </row>
    <row r="2616">
      <c r="A2616" t="inlineStr">
        <is>
          <t>2026.09.28 留倉</t>
        </is>
      </c>
      <c r="B2616" t="inlineStr">
        <is>
          <t>買 100股</t>
        </is>
      </c>
      <c r="C2616" t="n">
        <v>-76610.5</v>
      </c>
    </row>
    <row r="2617">
      <c r="A2617" t="inlineStr">
        <is>
          <t>2026.09.29 平倉</t>
        </is>
      </c>
      <c r="B2617" t="inlineStr">
        <is>
          <t>賣100股</t>
        </is>
      </c>
      <c r="C2617">
        <f>+A2597</f>
        <v/>
      </c>
    </row>
    <row r="2618">
      <c r="B2618" t="inlineStr">
        <is>
          <t>平倉損益</t>
        </is>
      </c>
      <c r="C2618">
        <f>+C2616+C2617</f>
        <v/>
      </c>
    </row>
    <row r="2619">
      <c r="B2619" t="inlineStr">
        <is>
          <t>平倉損益 %</t>
        </is>
      </c>
      <c r="C2619">
        <f>C2618/ABS(C2616)</f>
        <v/>
      </c>
    </row>
    <row r="2620"/>
    <row r="2621"/>
    <row r="2622">
      <c r="A2622" t="inlineStr">
        <is>
          <t>2026.10.16</t>
        </is>
      </c>
      <c r="B2622" t="n">
        <v>2382534.74</v>
      </c>
      <c r="C2622" t="inlineStr">
        <is>
          <t>損益</t>
        </is>
      </c>
    </row>
    <row r="2623">
      <c r="A2623" t="n">
        <v>-76763.5</v>
      </c>
      <c r="B2623">
        <f>+B2622+A2623</f>
        <v/>
      </c>
    </row>
    <row r="2624">
      <c r="A2624" t="n">
        <v>76776.78999999999</v>
      </c>
      <c r="B2624">
        <f>+B2623+A2624</f>
        <v/>
      </c>
      <c r="C2624" t="n">
        <v>13.29</v>
      </c>
    </row>
    <row r="2625">
      <c r="A2625" t="n">
        <v>-76663.96000000001</v>
      </c>
      <c r="B2625">
        <f>+B2624+A2625</f>
        <v/>
      </c>
    </row>
    <row r="2626">
      <c r="A2626" t="n">
        <v>-76592.61</v>
      </c>
      <c r="B2626">
        <f>+B2625+A2626</f>
        <v/>
      </c>
    </row>
    <row r="2627">
      <c r="A2627" t="n">
        <v>-76401</v>
      </c>
      <c r="B2627">
        <f>+B2626+A2627</f>
        <v/>
      </c>
    </row>
    <row r="2628">
      <c r="B2628" t="inlineStr">
        <is>
          <t xml:space="preserve">合計 </t>
        </is>
      </c>
      <c r="C2628" s="80">
        <f>SUM(C2623:C2627)</f>
        <v/>
      </c>
    </row>
    <row r="2629">
      <c r="B2629" t="inlineStr">
        <is>
          <t>核驗</t>
        </is>
      </c>
      <c r="C2629" s="80">
        <f>+B2627-B2622-A2625-A2626-A2627</f>
        <v/>
      </c>
    </row>
    <row r="2630"/>
    <row r="2631">
      <c r="A2631" t="inlineStr">
        <is>
          <t>2026.10.16當沖</t>
        </is>
      </c>
      <c r="B2631" t="inlineStr">
        <is>
          <t>買</t>
        </is>
      </c>
      <c r="C2631" s="80">
        <f>SUMIF(A2623:A2624,"&lt;0")</f>
        <v/>
      </c>
    </row>
    <row r="2632">
      <c r="A2632">
        <f>"SPY " &amp; COUNT(C2623:C2624) * 100 &amp; "股"</f>
        <v/>
      </c>
      <c r="B2632" t="inlineStr">
        <is>
          <t>賣</t>
        </is>
      </c>
      <c r="C2632" s="80">
        <f>SUMIF(A2623:A2624,"&gt;0")</f>
        <v/>
      </c>
    </row>
    <row r="2633">
      <c r="B2633" t="inlineStr">
        <is>
          <t>當日損益</t>
        </is>
      </c>
      <c r="C2633" s="80">
        <f>+C2631+C2632</f>
        <v/>
      </c>
    </row>
    <row r="2634">
      <c r="B2634" t="inlineStr">
        <is>
          <t>當日損益 %</t>
        </is>
      </c>
      <c r="C2634" s="45">
        <f>C2633/ABS(C2631)</f>
        <v/>
      </c>
    </row>
    <row r="2637">
      <c r="A2637" t="inlineStr">
        <is>
          <t>2026.10.19</t>
        </is>
      </c>
      <c r="B2637" t="n">
        <v>2382582.4</v>
      </c>
      <c r="C2637" t="inlineStr">
        <is>
          <t>損益</t>
        </is>
      </c>
    </row>
    <row r="2638">
      <c r="A2638" t="n">
        <v>76904.62</v>
      </c>
      <c r="B2638">
        <f>+B2637+A2638</f>
        <v/>
      </c>
    </row>
    <row r="2639">
      <c r="A2639" t="n">
        <v>76911.58</v>
      </c>
      <c r="B2639">
        <f>+B2638+A2639</f>
        <v/>
      </c>
    </row>
    <row r="2640">
      <c r="A2640" t="n">
        <v>76973.91</v>
      </c>
      <c r="B2640">
        <f>+B2639+A2640</f>
        <v/>
      </c>
    </row>
    <row r="2641">
      <c r="B2641" t="inlineStr">
        <is>
          <t xml:space="preserve">合計 </t>
        </is>
      </c>
      <c r="C2641" s="80">
        <f>SUM(C2638:C2640)</f>
        <v/>
      </c>
    </row>
    <row r="2642">
      <c r="B2642" t="inlineStr">
        <is>
          <t>核驗</t>
        </is>
      </c>
      <c r="C2642" s="80">
        <f>+B2640-B2637-A2638-A2639-A2640</f>
        <v/>
      </c>
    </row>
    <row r="2644">
      <c r="A2644" t="inlineStr">
        <is>
          <t>累積留倉   0股</t>
        </is>
      </c>
    </row>
    <row r="2645">
      <c r="A2645" t="inlineStr">
        <is>
          <t>2026.10.16 留倉</t>
        </is>
      </c>
      <c r="B2645" t="inlineStr">
        <is>
          <t>買 100股</t>
        </is>
      </c>
      <c r="C2645" t="n">
        <v>-76663.96000000001</v>
      </c>
    </row>
    <row r="2646">
      <c r="A2646" t="inlineStr">
        <is>
          <t>2026.10.16 留倉</t>
        </is>
      </c>
      <c r="B2646" t="inlineStr">
        <is>
          <t>買 100股</t>
        </is>
      </c>
      <c r="C2646" t="n">
        <v>-76592.61</v>
      </c>
    </row>
    <row r="2647">
      <c r="A2647" t="inlineStr">
        <is>
          <t>2026.10.16 留倉</t>
        </is>
      </c>
      <c r="B2647" t="inlineStr">
        <is>
          <t>買 100股</t>
        </is>
      </c>
      <c r="C2647" t="n">
        <v>-76401</v>
      </c>
    </row>
    <row r="2648">
      <c r="A2648" t="inlineStr">
        <is>
          <t>2026.10.19 平倉</t>
        </is>
      </c>
      <c r="B2648" t="inlineStr">
        <is>
          <t>賣100股</t>
        </is>
      </c>
      <c r="C2648">
        <f>+A2640</f>
        <v/>
      </c>
    </row>
    <row r="2649">
      <c r="A2649" t="inlineStr">
        <is>
          <t>2026.10.19 平倉</t>
        </is>
      </c>
      <c r="B2649" t="inlineStr">
        <is>
          <t>賣100股</t>
        </is>
      </c>
      <c r="C2649">
        <f>+A2639</f>
        <v/>
      </c>
    </row>
    <row r="2650">
      <c r="A2650" t="inlineStr">
        <is>
          <t>2026.10.19 平倉</t>
        </is>
      </c>
      <c r="B2650" t="inlineStr">
        <is>
          <t>賣100股</t>
        </is>
      </c>
      <c r="C2650">
        <f>+A2638</f>
        <v/>
      </c>
    </row>
    <row r="2651">
      <c r="B2651" t="inlineStr">
        <is>
          <t>平倉損益</t>
        </is>
      </c>
      <c r="C2651">
        <f>C2645+C2646+C2647+C2648+C2649+C2650</f>
        <v/>
      </c>
    </row>
    <row r="2652">
      <c r="B2652" t="inlineStr">
        <is>
          <t>平倉損益 %</t>
        </is>
      </c>
      <c r="C2652">
        <f>C2651/ABS(C2645+C2646+C2647)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1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  <row r="69">
      <c r="A69" s="86" t="n">
        <v>46310</v>
      </c>
      <c r="B69" t="n">
        <v>47.66</v>
      </c>
      <c r="C69">
        <f>C68+B69</f>
        <v/>
      </c>
    </row>
    <row r="70">
      <c r="A70" s="86" t="n">
        <v>46311</v>
      </c>
      <c r="B70" t="n">
        <v>13.29</v>
      </c>
      <c r="C70">
        <f>C69+B70</f>
        <v/>
      </c>
    </row>
    <row r="71">
      <c r="A71" s="86" t="n">
        <v>46314</v>
      </c>
      <c r="B71" t="n">
        <v>1132.54</v>
      </c>
      <c r="C71">
        <f>C70+B71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2026-10-20T02:57:11Z</dcterms:modified>
  <cp:lastModifiedBy>USER</cp:lastModifiedBy>
</cp:coreProperties>
</file>